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KV\Downloads\"/>
    </mc:Choice>
  </mc:AlternateContent>
  <xr:revisionPtr revIDLastSave="0" documentId="13_ncr:1_{D8303073-082F-4DC6-931A-3237F250AC70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Dashboard" sheetId="1" r:id="rId1"/>
    <sheet name="Lookup" sheetId="2" r:id="rId2"/>
    <sheet name="API 2025-26" sheetId="3" r:id="rId3"/>
    <sheet name="2026-27" sheetId="4" r:id="rId4"/>
    <sheet name="2027-28" sheetId="5" r:id="rId5"/>
    <sheet name="2028-29" sheetId="6" r:id="rId6"/>
  </sheets>
  <definedNames>
    <definedName name="Cat2AList">Lookup!$A$22:$A$32</definedName>
    <definedName name="Cat2BList">Lookup!$D$22:$D$33</definedName>
    <definedName name="Cat2CList">Lookup!$G$22:$G$33</definedName>
    <definedName name="Cat3AAuthorList">Lookup!$M$2:$M$4</definedName>
    <definedName name="Cat3AClassList">Lookup!$L$2:$L$7</definedName>
    <definedName name="Cat3BCategoryList">Lookup!$N$2:$N$12</definedName>
    <definedName name="CourseIn">Lookup!$J$2:$J$3</definedName>
    <definedName name="ExamMode">Lookup!$K$2:$K$5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6" l="1"/>
  <c r="F101" i="6"/>
  <c r="F100" i="6"/>
  <c r="F99" i="6"/>
  <c r="F98" i="6"/>
  <c r="F97" i="6"/>
  <c r="F96" i="6"/>
  <c r="F95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102" i="5"/>
  <c r="F101" i="5"/>
  <c r="F100" i="5"/>
  <c r="F99" i="5"/>
  <c r="F98" i="5"/>
  <c r="F97" i="5"/>
  <c r="F96" i="5"/>
  <c r="F95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102" i="4"/>
  <c r="F101" i="4"/>
  <c r="F100" i="4"/>
  <c r="F99" i="4"/>
  <c r="F98" i="4"/>
  <c r="F97" i="4"/>
  <c r="F96" i="4"/>
  <c r="F95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102" i="3"/>
  <c r="F101" i="3"/>
  <c r="F100" i="3"/>
  <c r="F99" i="3"/>
  <c r="F98" i="3"/>
  <c r="F97" i="3"/>
  <c r="F96" i="3"/>
  <c r="F95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128" i="6"/>
  <c r="F127" i="6"/>
  <c r="F126" i="6"/>
  <c r="F125" i="6"/>
  <c r="F124" i="6"/>
  <c r="F123" i="6"/>
  <c r="F122" i="6"/>
  <c r="F121" i="6"/>
  <c r="F120" i="6"/>
  <c r="G120" i="6"/>
  <c r="G121" i="6"/>
  <c r="G122" i="6"/>
  <c r="G123" i="6"/>
  <c r="G124" i="6"/>
  <c r="G125" i="6"/>
  <c r="G126" i="6"/>
  <c r="G127" i="6"/>
  <c r="G128" i="6"/>
  <c r="H114" i="6"/>
  <c r="I114" i="6"/>
  <c r="G95" i="6"/>
  <c r="G96" i="6"/>
  <c r="G97" i="6"/>
  <c r="G98" i="6"/>
  <c r="G99" i="6"/>
  <c r="G100" i="6"/>
  <c r="G101" i="6"/>
  <c r="G102" i="6"/>
  <c r="H78" i="6"/>
  <c r="H79" i="6"/>
  <c r="H80" i="6"/>
  <c r="H81" i="6"/>
  <c r="H82" i="6"/>
  <c r="H83" i="6"/>
  <c r="H84" i="6"/>
  <c r="H85" i="6"/>
  <c r="H86" i="6"/>
  <c r="H87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F128" i="5"/>
  <c r="F127" i="5"/>
  <c r="F126" i="5"/>
  <c r="F125" i="5"/>
  <c r="F124" i="5"/>
  <c r="F123" i="5"/>
  <c r="F122" i="5"/>
  <c r="F121" i="5"/>
  <c r="F120" i="5"/>
  <c r="G120" i="5"/>
  <c r="G121" i="5"/>
  <c r="G122" i="5"/>
  <c r="G123" i="5"/>
  <c r="G124" i="5"/>
  <c r="G125" i="5"/>
  <c r="G126" i="5"/>
  <c r="G127" i="5"/>
  <c r="G128" i="5"/>
  <c r="H114" i="5"/>
  <c r="I114" i="5"/>
  <c r="G95" i="5"/>
  <c r="G96" i="5"/>
  <c r="G97" i="5"/>
  <c r="G98" i="5"/>
  <c r="G99" i="5"/>
  <c r="G100" i="5"/>
  <c r="G101" i="5"/>
  <c r="G102" i="5"/>
  <c r="H78" i="5"/>
  <c r="H79" i="5"/>
  <c r="H80" i="5"/>
  <c r="H81" i="5"/>
  <c r="H82" i="5"/>
  <c r="H83" i="5"/>
  <c r="H84" i="5"/>
  <c r="H85" i="5"/>
  <c r="H86" i="5"/>
  <c r="H87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F128" i="4"/>
  <c r="F127" i="4"/>
  <c r="F126" i="4"/>
  <c r="F125" i="4"/>
  <c r="F124" i="4"/>
  <c r="F123" i="4"/>
  <c r="F122" i="4"/>
  <c r="F121" i="4"/>
  <c r="F120" i="4"/>
  <c r="G120" i="4"/>
  <c r="G121" i="4"/>
  <c r="G122" i="4"/>
  <c r="G123" i="4"/>
  <c r="G124" i="4"/>
  <c r="G125" i="4"/>
  <c r="G126" i="4"/>
  <c r="G127" i="4"/>
  <c r="G128" i="4"/>
  <c r="H114" i="4"/>
  <c r="I114" i="4"/>
  <c r="G95" i="4"/>
  <c r="G96" i="4"/>
  <c r="G97" i="4"/>
  <c r="G98" i="4"/>
  <c r="G99" i="4"/>
  <c r="G100" i="4"/>
  <c r="G101" i="4"/>
  <c r="G102" i="4"/>
  <c r="H78" i="4"/>
  <c r="H79" i="4"/>
  <c r="H80" i="4"/>
  <c r="H81" i="4"/>
  <c r="H82" i="4"/>
  <c r="H83" i="4"/>
  <c r="H84" i="4"/>
  <c r="H85" i="4"/>
  <c r="H86" i="4"/>
  <c r="H87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F128" i="3"/>
  <c r="F127" i="3"/>
  <c r="F126" i="3"/>
  <c r="F125" i="3"/>
  <c r="F124" i="3"/>
  <c r="F123" i="3"/>
  <c r="F122" i="3"/>
  <c r="F121" i="3"/>
  <c r="F120" i="3"/>
  <c r="G120" i="3"/>
  <c r="G121" i="3"/>
  <c r="G122" i="3"/>
  <c r="G123" i="3"/>
  <c r="G124" i="3"/>
  <c r="G125" i="3"/>
  <c r="G126" i="3"/>
  <c r="G127" i="3"/>
  <c r="G128" i="3"/>
  <c r="H114" i="3"/>
  <c r="I114" i="3"/>
  <c r="G95" i="3"/>
  <c r="G96" i="3"/>
  <c r="G97" i="3"/>
  <c r="G98" i="3"/>
  <c r="G99" i="3"/>
  <c r="G100" i="3"/>
  <c r="G101" i="3"/>
  <c r="G102" i="3"/>
  <c r="H78" i="3"/>
  <c r="H79" i="3"/>
  <c r="H80" i="3"/>
  <c r="H81" i="3"/>
  <c r="H82" i="3"/>
  <c r="H83" i="3"/>
  <c r="H84" i="3"/>
  <c r="H85" i="3"/>
  <c r="H86" i="3"/>
  <c r="H87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36" i="6"/>
  <c r="G37" i="6"/>
  <c r="G38" i="6"/>
  <c r="G39" i="6"/>
  <c r="G40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H5" i="6"/>
  <c r="H6" i="6"/>
  <c r="H7" i="6"/>
  <c r="H8" i="6"/>
  <c r="H9" i="6"/>
  <c r="G36" i="5"/>
  <c r="G37" i="5"/>
  <c r="G38" i="5"/>
  <c r="G39" i="5"/>
  <c r="G40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H5" i="5"/>
  <c r="H6" i="5"/>
  <c r="H7" i="5"/>
  <c r="H8" i="5"/>
  <c r="H9" i="5"/>
  <c r="G36" i="4"/>
  <c r="G37" i="4"/>
  <c r="G38" i="4"/>
  <c r="G39" i="4"/>
  <c r="G40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H5" i="4"/>
  <c r="H6" i="4"/>
  <c r="H7" i="4"/>
  <c r="H8" i="4"/>
  <c r="H9" i="4"/>
  <c r="G36" i="3"/>
  <c r="G37" i="3"/>
  <c r="G38" i="3"/>
  <c r="G39" i="3"/>
  <c r="G40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H5" i="3"/>
  <c r="H6" i="3"/>
  <c r="H7" i="3"/>
  <c r="H8" i="3"/>
  <c r="H9" i="3"/>
  <c r="G42" i="6"/>
  <c r="F42" i="6"/>
  <c r="F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G31" i="6"/>
  <c r="E31" i="6"/>
  <c r="F30" i="6"/>
  <c r="E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E17" i="6"/>
  <c r="F16" i="6"/>
  <c r="E16" i="6"/>
  <c r="H11" i="6"/>
  <c r="E11" i="6"/>
  <c r="G10" i="6"/>
  <c r="F10" i="6"/>
  <c r="E10" i="6"/>
  <c r="G9" i="6"/>
  <c r="F9" i="6"/>
  <c r="G8" i="6"/>
  <c r="F8" i="6"/>
  <c r="G7" i="6"/>
  <c r="F7" i="6"/>
  <c r="G6" i="6"/>
  <c r="F6" i="6"/>
  <c r="G5" i="6"/>
  <c r="F5" i="6"/>
  <c r="G151" i="6"/>
  <c r="F151" i="6"/>
  <c r="E151" i="6"/>
  <c r="D151" i="6" a="1"/>
  <c r="D156" i="6" s="1"/>
  <c r="C151" i="6"/>
  <c r="B151" i="6" a="1"/>
  <c r="B156" i="6" s="1"/>
  <c r="H115" i="6"/>
  <c r="B132" i="6" s="1"/>
  <c r="E102" i="6"/>
  <c r="E101" i="6"/>
  <c r="E100" i="6"/>
  <c r="E99" i="6"/>
  <c r="E98" i="6"/>
  <c r="E97" i="6"/>
  <c r="E96" i="6"/>
  <c r="E95" i="6"/>
  <c r="F88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K35" i="6"/>
  <c r="K15" i="6"/>
  <c r="K4" i="6"/>
  <c r="G42" i="5"/>
  <c r="F42" i="5"/>
  <c r="F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G31" i="5"/>
  <c r="E31" i="5"/>
  <c r="F30" i="5"/>
  <c r="E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E17" i="5"/>
  <c r="F16" i="5"/>
  <c r="E16" i="5"/>
  <c r="H11" i="5"/>
  <c r="E11" i="5"/>
  <c r="G10" i="5"/>
  <c r="F10" i="5"/>
  <c r="E10" i="5"/>
  <c r="G9" i="5"/>
  <c r="F9" i="5"/>
  <c r="G8" i="5"/>
  <c r="F8" i="5"/>
  <c r="G7" i="5"/>
  <c r="F7" i="5"/>
  <c r="G6" i="5"/>
  <c r="F6" i="5"/>
  <c r="G5" i="5"/>
  <c r="F5" i="5"/>
  <c r="G151" i="5"/>
  <c r="F151" i="5"/>
  <c r="E151" i="5"/>
  <c r="D151" i="5" a="1"/>
  <c r="D156" i="5" s="1"/>
  <c r="C151" i="5"/>
  <c r="B151" i="5" a="1"/>
  <c r="B156" i="5" s="1"/>
  <c r="H115" i="5"/>
  <c r="B132" i="5" s="1"/>
  <c r="E102" i="5"/>
  <c r="E101" i="5"/>
  <c r="E100" i="5"/>
  <c r="E99" i="5"/>
  <c r="E98" i="5"/>
  <c r="E97" i="5"/>
  <c r="E96" i="5"/>
  <c r="E95" i="5"/>
  <c r="F88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K35" i="5"/>
  <c r="K15" i="5"/>
  <c r="K4" i="5"/>
  <c r="G42" i="4"/>
  <c r="F42" i="4"/>
  <c r="F41" i="4"/>
  <c r="F40" i="4"/>
  <c r="E40" i="4"/>
  <c r="D40" i="4"/>
  <c r="C40" i="4"/>
  <c r="F39" i="4"/>
  <c r="E39" i="4"/>
  <c r="D39" i="4"/>
  <c r="C39" i="4"/>
  <c r="F38" i="4"/>
  <c r="E38" i="4"/>
  <c r="D38" i="4"/>
  <c r="C38" i="4"/>
  <c r="F37" i="4"/>
  <c r="E37" i="4"/>
  <c r="D37" i="4"/>
  <c r="C37" i="4"/>
  <c r="F36" i="4"/>
  <c r="E36" i="4"/>
  <c r="D36" i="4"/>
  <c r="C36" i="4"/>
  <c r="G31" i="4"/>
  <c r="E31" i="4"/>
  <c r="F30" i="4"/>
  <c r="E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E17" i="4"/>
  <c r="F16" i="4"/>
  <c r="E16" i="4"/>
  <c r="H11" i="4"/>
  <c r="E11" i="4"/>
  <c r="G10" i="4"/>
  <c r="F10" i="4"/>
  <c r="E10" i="4"/>
  <c r="G9" i="4"/>
  <c r="F9" i="4"/>
  <c r="G8" i="4"/>
  <c r="F8" i="4"/>
  <c r="G7" i="4"/>
  <c r="F7" i="4"/>
  <c r="G6" i="4"/>
  <c r="F6" i="4"/>
  <c r="G5" i="4"/>
  <c r="F5" i="4"/>
  <c r="G151" i="4"/>
  <c r="F151" i="4"/>
  <c r="E151" i="4"/>
  <c r="D151" i="4" a="1"/>
  <c r="D156" i="4" s="1"/>
  <c r="C151" i="4"/>
  <c r="B151" i="4" a="1"/>
  <c r="B156" i="4" s="1"/>
  <c r="H115" i="4"/>
  <c r="B132" i="4" s="1"/>
  <c r="E102" i="4"/>
  <c r="E101" i="4"/>
  <c r="E100" i="4"/>
  <c r="E99" i="4"/>
  <c r="E98" i="4"/>
  <c r="E97" i="4"/>
  <c r="E96" i="4"/>
  <c r="E95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72" i="4" s="1"/>
  <c r="K35" i="4"/>
  <c r="K15" i="4"/>
  <c r="K4" i="4"/>
  <c r="G42" i="3"/>
  <c r="F42" i="3"/>
  <c r="F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6" i="3"/>
  <c r="E36" i="3"/>
  <c r="D36" i="3"/>
  <c r="C36" i="3"/>
  <c r="G31" i="3"/>
  <c r="E31" i="3"/>
  <c r="F30" i="3"/>
  <c r="E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E17" i="3"/>
  <c r="F16" i="3"/>
  <c r="E16" i="3"/>
  <c r="H11" i="3"/>
  <c r="E11" i="3"/>
  <c r="G10" i="3"/>
  <c r="F10" i="3"/>
  <c r="E10" i="3"/>
  <c r="G9" i="3"/>
  <c r="F9" i="3"/>
  <c r="G8" i="3"/>
  <c r="F8" i="3"/>
  <c r="G7" i="3"/>
  <c r="F7" i="3"/>
  <c r="G6" i="3"/>
  <c r="F6" i="3"/>
  <c r="G5" i="3"/>
  <c r="F5" i="3"/>
  <c r="G151" i="3"/>
  <c r="F151" i="3"/>
  <c r="E151" i="3"/>
  <c r="D151" i="3" a="1"/>
  <c r="D161" i="3" s="1"/>
  <c r="C151" i="3"/>
  <c r="B151" i="3" a="1"/>
  <c r="B153" i="3" s="1"/>
  <c r="H115" i="3"/>
  <c r="B132" i="3" s="1"/>
  <c r="E102" i="3"/>
  <c r="E101" i="3"/>
  <c r="E100" i="3"/>
  <c r="E99" i="3"/>
  <c r="E98" i="3"/>
  <c r="E97" i="3"/>
  <c r="E96" i="3"/>
  <c r="E95" i="3"/>
  <c r="F103" i="3" s="1"/>
  <c r="E104" i="3" s="1"/>
  <c r="G104" i="3" s="1"/>
  <c r="D107" i="3" s="1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K35" i="3"/>
  <c r="K15" i="3"/>
  <c r="K4" i="3"/>
  <c r="F85" i="2" a="1"/>
  <c r="F114" i="2" s="1"/>
  <c r="E85" i="2" a="1"/>
  <c r="E94" i="2" s="1"/>
  <c r="B85" i="2"/>
  <c r="A85" i="2" a="1"/>
  <c r="A86" i="2" s="1"/>
  <c r="E72" i="6" l="1"/>
  <c r="E72" i="5"/>
  <c r="E103" i="4"/>
  <c r="C45" i="6"/>
  <c r="F129" i="6"/>
  <c r="C132" i="6" s="1"/>
  <c r="D132" i="6" s="1"/>
  <c r="D157" i="6"/>
  <c r="B45" i="6"/>
  <c r="F103" i="6"/>
  <c r="E104" i="6" s="1"/>
  <c r="G104" i="6" s="1"/>
  <c r="D107" i="6" s="1"/>
  <c r="D45" i="6"/>
  <c r="E103" i="6"/>
  <c r="B151" i="6"/>
  <c r="D151" i="6"/>
  <c r="D159" i="6"/>
  <c r="G88" i="6"/>
  <c r="B152" i="6"/>
  <c r="D152" i="6"/>
  <c r="D160" i="6"/>
  <c r="D158" i="6"/>
  <c r="B153" i="6"/>
  <c r="D153" i="6"/>
  <c r="D161" i="6"/>
  <c r="F72" i="6"/>
  <c r="E73" i="6" s="1"/>
  <c r="G73" i="6" s="1"/>
  <c r="B107" i="6" s="1"/>
  <c r="B154" i="6"/>
  <c r="D154" i="6"/>
  <c r="B155" i="6"/>
  <c r="D155" i="6"/>
  <c r="D45" i="5"/>
  <c r="B45" i="5"/>
  <c r="C45" i="5"/>
  <c r="B154" i="5"/>
  <c r="D154" i="5"/>
  <c r="D157" i="5"/>
  <c r="F129" i="5"/>
  <c r="C132" i="5" s="1"/>
  <c r="D132" i="5" s="1"/>
  <c r="F72" i="5"/>
  <c r="E73" i="5" s="1"/>
  <c r="G73" i="5" s="1"/>
  <c r="B107" i="5" s="1"/>
  <c r="F103" i="5"/>
  <c r="E104" i="5" s="1"/>
  <c r="G104" i="5" s="1"/>
  <c r="D107" i="5" s="1"/>
  <c r="D158" i="5"/>
  <c r="E103" i="5"/>
  <c r="B151" i="5"/>
  <c r="D151" i="5"/>
  <c r="D159" i="5"/>
  <c r="G88" i="5"/>
  <c r="B152" i="5"/>
  <c r="D152" i="5"/>
  <c r="D160" i="5"/>
  <c r="B153" i="5"/>
  <c r="D153" i="5"/>
  <c r="D161" i="5"/>
  <c r="B155" i="5"/>
  <c r="D155" i="5"/>
  <c r="C45" i="4"/>
  <c r="F129" i="4"/>
  <c r="C132" i="4" s="1"/>
  <c r="D132" i="4" s="1"/>
  <c r="D157" i="4"/>
  <c r="G88" i="4"/>
  <c r="D45" i="4"/>
  <c r="B153" i="4"/>
  <c r="D153" i="4"/>
  <c r="D161" i="4"/>
  <c r="F103" i="4"/>
  <c r="E104" i="4" s="1"/>
  <c r="G104" i="4" s="1"/>
  <c r="D107" i="4" s="1"/>
  <c r="D160" i="4"/>
  <c r="B45" i="4"/>
  <c r="F72" i="4"/>
  <c r="E73" i="4" s="1"/>
  <c r="G73" i="4" s="1"/>
  <c r="B107" i="4" s="1"/>
  <c r="B154" i="4"/>
  <c r="D154" i="4"/>
  <c r="B152" i="4"/>
  <c r="F88" i="4"/>
  <c r="B155" i="4"/>
  <c r="D155" i="4"/>
  <c r="D158" i="4"/>
  <c r="B151" i="4"/>
  <c r="D151" i="4"/>
  <c r="D159" i="4"/>
  <c r="D152" i="4"/>
  <c r="C45" i="3"/>
  <c r="B45" i="3"/>
  <c r="D156" i="3"/>
  <c r="F99" i="2"/>
  <c r="F100" i="2"/>
  <c r="E87" i="2"/>
  <c r="F129" i="3"/>
  <c r="C132" i="3" s="1"/>
  <c r="D132" i="3" s="1"/>
  <c r="E88" i="2"/>
  <c r="E89" i="2"/>
  <c r="A87" i="2"/>
  <c r="E95" i="2"/>
  <c r="A88" i="2"/>
  <c r="F85" i="2"/>
  <c r="F115" i="2"/>
  <c r="A89" i="2"/>
  <c r="F116" i="2"/>
  <c r="F91" i="2"/>
  <c r="D154" i="3"/>
  <c r="F92" i="2"/>
  <c r="D155" i="3"/>
  <c r="F107" i="2"/>
  <c r="B154" i="3"/>
  <c r="F108" i="2"/>
  <c r="B155" i="3"/>
  <c r="F72" i="3"/>
  <c r="E73" i="3" s="1"/>
  <c r="G73" i="3" s="1"/>
  <c r="B107" i="3" s="1"/>
  <c r="D45" i="3"/>
  <c r="G88" i="3"/>
  <c r="E72" i="3"/>
  <c r="F88" i="3"/>
  <c r="A90" i="2"/>
  <c r="E90" i="2"/>
  <c r="F86" i="2"/>
  <c r="F94" i="2"/>
  <c r="F102" i="2"/>
  <c r="F110" i="2"/>
  <c r="F118" i="2"/>
  <c r="B156" i="3"/>
  <c r="E91" i="2"/>
  <c r="F87" i="2"/>
  <c r="F95" i="2"/>
  <c r="F103" i="2"/>
  <c r="F111" i="2"/>
  <c r="D157" i="3"/>
  <c r="A85" i="2"/>
  <c r="E85" i="2"/>
  <c r="E92" i="2"/>
  <c r="F88" i="2"/>
  <c r="F96" i="2"/>
  <c r="F104" i="2"/>
  <c r="F112" i="2"/>
  <c r="B151" i="3"/>
  <c r="D151" i="3"/>
  <c r="D158" i="3"/>
  <c r="F93" i="2"/>
  <c r="F101" i="2"/>
  <c r="F109" i="2"/>
  <c r="F117" i="2"/>
  <c r="F105" i="2"/>
  <c r="E103" i="3"/>
  <c r="D159" i="3"/>
  <c r="E93" i="2"/>
  <c r="F89" i="2"/>
  <c r="F97" i="2"/>
  <c r="F113" i="2"/>
  <c r="E86" i="2"/>
  <c r="F90" i="2"/>
  <c r="F98" i="2"/>
  <c r="F106" i="2"/>
  <c r="B152" i="3"/>
  <c r="D152" i="3"/>
  <c r="D160" i="3"/>
  <c r="D153" i="3"/>
  <c r="H89" i="6" l="1"/>
  <c r="C107" i="6" s="1"/>
  <c r="E107" i="6" s="1"/>
  <c r="E89" i="6"/>
  <c r="E45" i="6"/>
  <c r="E45" i="5"/>
  <c r="E89" i="5"/>
  <c r="H89" i="5"/>
  <c r="C107" i="5" s="1"/>
  <c r="E107" i="5" s="1"/>
  <c r="E45" i="4"/>
  <c r="H89" i="4"/>
  <c r="C107" i="4" s="1"/>
  <c r="E107" i="4" s="1"/>
  <c r="E89" i="4"/>
  <c r="E45" i="3"/>
  <c r="H89" i="3"/>
  <c r="C107" i="3" s="1"/>
  <c r="E107" i="3" s="1"/>
  <c r="E89" i="3"/>
</calcChain>
</file>

<file path=xl/sharedStrings.xml><?xml version="1.0" encoding="utf-8"?>
<sst xmlns="http://schemas.openxmlformats.org/spreadsheetml/2006/main" count="752" uniqueCount="206">
  <si>
    <t>Internal Promotion Policy</t>
  </si>
  <si>
    <t>Eligibility for Post</t>
  </si>
  <si>
    <t>IPS-2017</t>
  </si>
  <si>
    <t>Assitant Professor Level 11</t>
  </si>
  <si>
    <t>IPS-2022</t>
  </si>
  <si>
    <t>Assitant Professor Level 12</t>
  </si>
  <si>
    <t>Assitant Professor Level 13A</t>
  </si>
  <si>
    <t>Assitant Professor Level 13B</t>
  </si>
  <si>
    <t>Assitant Professor Level 14A</t>
  </si>
  <si>
    <t>Category 1</t>
  </si>
  <si>
    <t>API 1.A</t>
  </si>
  <si>
    <t>API 1.B</t>
  </si>
  <si>
    <t>API 1.C</t>
  </si>
  <si>
    <t>Final API Score (Category 1)</t>
  </si>
  <si>
    <t>Category 2</t>
  </si>
  <si>
    <t>API 2.A</t>
  </si>
  <si>
    <t>API 2.B</t>
  </si>
  <si>
    <t>API 2.C</t>
  </si>
  <si>
    <t>Final API Score (Category 2)</t>
  </si>
  <si>
    <t>Category 3</t>
  </si>
  <si>
    <t>Ceiling</t>
  </si>
  <si>
    <t>API-1.A</t>
  </si>
  <si>
    <t>API-1.B</t>
  </si>
  <si>
    <t>API-1.C</t>
  </si>
  <si>
    <t>API-2.A</t>
  </si>
  <si>
    <t>API-2.B</t>
  </si>
  <si>
    <t>API-2.C</t>
  </si>
  <si>
    <t>API-3.A</t>
  </si>
  <si>
    <t>API-3.B</t>
  </si>
  <si>
    <t>NA</t>
  </si>
  <si>
    <t>Minimum Threshold</t>
  </si>
  <si>
    <t>Categoy 1/Year</t>
  </si>
  <si>
    <t>Category 2/Last 4 Years</t>
  </si>
  <si>
    <t>Category 3/Last 4 Years</t>
  </si>
  <si>
    <t>(Category 2 + Category 3) / Last 4 Years</t>
  </si>
  <si>
    <t>Assistant Professor Level 12</t>
  </si>
  <si>
    <t>Assistant Professor Level 13A</t>
  </si>
  <si>
    <t>Associate Professor Level 13B</t>
  </si>
  <si>
    <t>Professor Level 14A</t>
  </si>
  <si>
    <t>IPS-2020</t>
  </si>
  <si>
    <t>Assumptions</t>
  </si>
  <si>
    <t>Academic Year Duration</t>
  </si>
  <si>
    <t>1 July-30 June</t>
  </si>
  <si>
    <t>Average Feedback per Course</t>
  </si>
  <si>
    <t>Category 2 Tables</t>
  </si>
  <si>
    <t>Type</t>
  </si>
  <si>
    <t>Score</t>
  </si>
  <si>
    <t>NSS/NCC</t>
  </si>
  <si>
    <t>Dean/Chairperson/Admission Committee Chairman</t>
  </si>
  <si>
    <t>Seminar / Workshop / Symposia</t>
  </si>
  <si>
    <t>Counselling</t>
  </si>
  <si>
    <t>Programme Director/Incharge (Certificate Programme)</t>
  </si>
  <si>
    <t>Conferences</t>
  </si>
  <si>
    <t>Sports</t>
  </si>
  <si>
    <t>Programme Director (Full-Time)/Part-Time/Executive</t>
  </si>
  <si>
    <t>Faculty Development Course</t>
  </si>
  <si>
    <t>Exhibition</t>
  </si>
  <si>
    <t>PD for MDP of 1-3 days</t>
  </si>
  <si>
    <t>Short Term Training Courses</t>
  </si>
  <si>
    <t>Competition</t>
  </si>
  <si>
    <t>PD for MDP of 3-7 days</t>
  </si>
  <si>
    <t>Membership of Association (National Level)</t>
  </si>
  <si>
    <t>Departmental Cultural Activities</t>
  </si>
  <si>
    <t>Examination Cell In-charge/Controller of Examination/Admission Committee Member</t>
  </si>
  <si>
    <t>Membership of Association (State Level)</t>
  </si>
  <si>
    <t>NGO</t>
  </si>
  <si>
    <t>Committee Member/Warden</t>
  </si>
  <si>
    <t>General Article Publications</t>
  </si>
  <si>
    <t>Institutional Cultural Activities</t>
  </si>
  <si>
    <t>Asst. Warden</t>
  </si>
  <si>
    <t>General Awareness Activity</t>
  </si>
  <si>
    <t>Port Visit</t>
  </si>
  <si>
    <t>Board Member</t>
  </si>
  <si>
    <t>Community work</t>
  </si>
  <si>
    <t>Study Tour</t>
  </si>
  <si>
    <t>GD/PI/VIVA</t>
  </si>
  <si>
    <t>Editorial</t>
  </si>
  <si>
    <t>Workshop</t>
  </si>
  <si>
    <t>Academic Council Coordinator</t>
  </si>
  <si>
    <t>Committee Member</t>
  </si>
  <si>
    <t>BoM Member</t>
  </si>
  <si>
    <t>Committee Chair</t>
  </si>
  <si>
    <t>Category 3 Tables</t>
  </si>
  <si>
    <t>Classification</t>
  </si>
  <si>
    <t>AuthorType</t>
  </si>
  <si>
    <t>Category</t>
  </si>
  <si>
    <t>Papers in ABDC with A or A*</t>
  </si>
  <si>
    <t>Single Author</t>
  </si>
  <si>
    <t>Award and Fellowship</t>
  </si>
  <si>
    <t>International Award / Fellowship from Academic Bodies/Associations</t>
  </si>
  <si>
    <t>First or Corresponding Author/Supervisor/Mentor</t>
  </si>
  <si>
    <t>National Award / Fellowship from Academic Bodies/Associations</t>
  </si>
  <si>
    <t>Co-Author</t>
  </si>
  <si>
    <t>State / University Award/Fellowship from Academic Bodies/Associations</t>
  </si>
  <si>
    <t>ABDC with B</t>
  </si>
  <si>
    <t>Invited Lecture</t>
  </si>
  <si>
    <t>International</t>
  </si>
  <si>
    <t>National</t>
  </si>
  <si>
    <t>Regional/State/Local</t>
  </si>
  <si>
    <t>ABDC with C / Scopus / UGC</t>
  </si>
  <si>
    <t>Papers Presented in Conferences/Seminars/Workshops</t>
  </si>
  <si>
    <t>Regional/State</t>
  </si>
  <si>
    <t>Any other / Impact Factor less than 1</t>
  </si>
  <si>
    <t>Chapters in Books</t>
  </si>
  <si>
    <t>Coauthor (International)</t>
  </si>
  <si>
    <t>Coauthor (National)</t>
  </si>
  <si>
    <t>First or Corresponding Author/Supervisor/Mentor (International)</t>
  </si>
  <si>
    <t>Papers published in Refereed Journal (Without Impact Factor)</t>
  </si>
  <si>
    <t>First or Corresponding Author/Supervisor/Mentor (National)</t>
  </si>
  <si>
    <t>Single Author (International)</t>
  </si>
  <si>
    <t>Single Author (National)</t>
  </si>
  <si>
    <t>Paper in Other Reputed Journal (Non-Refereed Journal)</t>
  </si>
  <si>
    <t>Subject Books Published by National level Publisher/State with ISBN/ISSN Number</t>
  </si>
  <si>
    <t>Coauthor</t>
  </si>
  <si>
    <t>Subject Books published by Other local publishers, with ISBN/ISSN number</t>
  </si>
  <si>
    <t>Text/Reference Books published by an International Publisher with ISBN/ISSN number</t>
  </si>
  <si>
    <t>Research Guidance</t>
  </si>
  <si>
    <t>M.Phil</t>
  </si>
  <si>
    <t>Ph.D. Awarded</t>
  </si>
  <si>
    <t>Ph.D. thesis submitted</t>
  </si>
  <si>
    <t>MBA/Executive MBA / Part-Time / Weekend</t>
  </si>
  <si>
    <t>Consultancy Projects</t>
  </si>
  <si>
    <t>Sci./Engineering/Agri./Medical/Veterinary (Min 10.0 lakhs)</t>
  </si>
  <si>
    <t>Lang./Humanities/Arts/Social Sci./Mgmt. (Min 2.0 lakhs)</t>
  </si>
  <si>
    <t>Project Outcomes / Outputs</t>
  </si>
  <si>
    <t>Major Policy Document of Government Bodies at International level (AH/SS)</t>
  </si>
  <si>
    <t>Major Policy Document of Government Bodies at Central/State level (AH/SS)</t>
  </si>
  <si>
    <t>Major Policy Document of Government Bodies at State level (AH/SS)</t>
  </si>
  <si>
    <t>Major Policy Document of Government Bodies at Local Bodies (AH/SS)</t>
  </si>
  <si>
    <t>Patent/Technology transfer/Product/Process at International level (Science)</t>
  </si>
  <si>
    <t>Patent/Technology transfer/Product/Process at Central/State level (Science)</t>
  </si>
  <si>
    <t>Sponsored Research Projects</t>
  </si>
  <si>
    <t>Languages/Humanities/Arts/Social Sci./Lib./Mgmt Project between 3-5 lakhs</t>
  </si>
  <si>
    <t>Sciences/Engineering/Agri./Medical/Veterinary Project between 5-30 lakhs</t>
  </si>
  <si>
    <t>Sciences/Engineering/Agriculture/Medical/Veterinary Project &gt;30 lakhs</t>
  </si>
  <si>
    <t>Languages/Humanities/Arts/Social Sci./Lib./Mgmt Project &gt;5 lakhs</t>
  </si>
  <si>
    <t>Languages/Humanities/Arts/Social Sci./Lib./Mgmt Project between 1-3 lakhs</t>
  </si>
  <si>
    <t>Sciences/Engineering/Agriculture/Medical/Veterinary Project between 1-5 lakhs</t>
  </si>
  <si>
    <t>Cat3A Classification</t>
  </si>
  <si>
    <t>Cat3A Author Type</t>
  </si>
  <si>
    <t>Cat3B Category</t>
  </si>
  <si>
    <t>Cat3B Type</t>
  </si>
  <si>
    <t>No Selection</t>
  </si>
  <si>
    <t xml:space="preserve">   Category 1</t>
  </si>
  <si>
    <t>A</t>
  </si>
  <si>
    <t>Direct Teaching</t>
  </si>
  <si>
    <t>S. No.</t>
  </si>
  <si>
    <t>Course</t>
  </si>
  <si>
    <t>Course in</t>
  </si>
  <si>
    <t>Course Hours</t>
  </si>
  <si>
    <t>API Score</t>
  </si>
  <si>
    <t>AY</t>
  </si>
  <si>
    <t>Max:</t>
  </si>
  <si>
    <t>Post Graduate</t>
  </si>
  <si>
    <t>Total Hours</t>
  </si>
  <si>
    <t>Final API 1.A</t>
  </si>
  <si>
    <t>B</t>
  </si>
  <si>
    <t>Examination Duties/Invigilation/Question Paper Setting / Evaluation</t>
  </si>
  <si>
    <t>Score/Point for Question Paper Setting</t>
  </si>
  <si>
    <t>(No. of courses taught) X 10</t>
  </si>
  <si>
    <t>Score/Point for Answer script Evalutation</t>
  </si>
  <si>
    <t>(No. of courses taught) X 20</t>
  </si>
  <si>
    <t>Examination Duty</t>
  </si>
  <si>
    <t>Total</t>
  </si>
  <si>
    <t>Final API 1.B</t>
  </si>
  <si>
    <t>C</t>
  </si>
  <si>
    <t>Final API 1.C</t>
  </si>
  <si>
    <t>Final Score (Category 1)</t>
  </si>
  <si>
    <t>Co-Curricular</t>
  </si>
  <si>
    <t>Supporting Details</t>
  </si>
  <si>
    <t>Co-Curricular Activity</t>
  </si>
  <si>
    <t>Points</t>
  </si>
  <si>
    <t>Final API 2.A</t>
  </si>
  <si>
    <t>Corporate / Academic Administrative</t>
  </si>
  <si>
    <t>Duty Type</t>
  </si>
  <si>
    <t>Duty Count</t>
  </si>
  <si>
    <t>Final API-2.B</t>
  </si>
  <si>
    <t>Professional Development</t>
  </si>
  <si>
    <t>PDA Type</t>
  </si>
  <si>
    <t>Final API 2.C</t>
  </si>
  <si>
    <t>Final Score (Category 2)</t>
  </si>
  <si>
    <t>Research Papers in Journals</t>
  </si>
  <si>
    <t>Paper Title</t>
  </si>
  <si>
    <t>Paper Link</t>
  </si>
  <si>
    <t>Journal Name</t>
  </si>
  <si>
    <t>Author Type</t>
  </si>
  <si>
    <t>Books / Research Projects / Research Guidance / Awards
/ etc.</t>
  </si>
  <si>
    <t>Supporting Information / Link</t>
  </si>
  <si>
    <t>API 3.A</t>
  </si>
  <si>
    <t>API 3.B</t>
  </si>
  <si>
    <t>Final Score (Category 3)</t>
  </si>
  <si>
    <t>CourseIn</t>
  </si>
  <si>
    <t>Under Graduate</t>
  </si>
  <si>
    <t>ExamMode</t>
  </si>
  <si>
    <t>Viva</t>
  </si>
  <si>
    <t>Evaluation</t>
  </si>
  <si>
    <t>Invigilation</t>
  </si>
  <si>
    <t>Course Name</t>
  </si>
  <si>
    <t>Total Course Hours</t>
  </si>
  <si>
    <t>Activity</t>
  </si>
  <si>
    <t>Hours</t>
  </si>
  <si>
    <t>Innovative Teaching</t>
  </si>
  <si>
    <t>Innovative Teaching Hours</t>
  </si>
  <si>
    <t>Cat3A Classification List</t>
  </si>
  <si>
    <t>Cat3A Author List</t>
  </si>
  <si>
    <t>Cat3B Category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</si>
</sst>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rgb="FFFF0000"/>
      <name val="Arial"/>
      <scheme val="minor"/>
    </font>
    <font>
      <sz val="11"/>
      <color rgb="FF0D0D0D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right"/>
    </xf>
    <xf numFmtId="4" fontId="2" fillId="0" borderId="1" xfId="0" applyNumberFormat="1" applyFont="1" applyBorder="1"/>
    <xf numFmtId="0" fontId="1" fillId="0" borderId="0" xfId="0" applyFont="1" applyAlignment="1">
      <alignment wrapText="1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4" fontId="1" fillId="0" borderId="1" xfId="0" applyNumberFormat="1" applyFont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5" fillId="5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2" fillId="0" borderId="0" xfId="0" applyFont="1" applyAlignment="1">
      <alignment horizontal="center"/>
    </xf>
    <xf numFmtId="4" fontId="5" fillId="0" borderId="1" xfId="0" applyNumberFormat="1" applyFont="1" applyBorder="1"/>
    <xf numFmtId="0" fontId="5" fillId="0" borderId="1" xfId="0" applyFont="1" applyBorder="1" applyAlignment="1">
      <alignment wrapText="1"/>
    </xf>
    <xf numFmtId="4" fontId="5" fillId="0" borderId="2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8" fillId="7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1" fillId="0" borderId="0" xfId="0" applyFont="1"/>
    <xf numFmtId="4" fontId="5" fillId="0" borderId="2" xfId="0" applyNumberFormat="1" applyFont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1" fillId="0" borderId="0" xfId="0" applyFont="1" applyAlignment="1">
      <alignment wrapText="1"/>
    </xf>
    <xf numFmtId="0" fontId="2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Lookup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Lookup-style 2" pivot="0" count="4" xr9:uid="{00000000-0011-0000-FFFF-FFFF01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Lookup-style 3" pivot="0" count="4" xr9:uid="{00000000-0011-0000-FFFF-FFFF02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Lookup-style 4" pivot="0" count="4" xr9:uid="{00000000-0011-0000-FFFF-FFFF03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Lookup-style 5" pivot="0" count="4" xr9:uid="{00000000-0011-0000-FFFF-FFFF04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API 2025-26-style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2A" displayName="Cat2A" ref="A21:B32">
  <tableColumns count="2">
    <tableColumn id="1" xr3:uid="{00000000-0010-0000-0000-000001000000}" name="Type"/>
    <tableColumn id="2" xr3:uid="{00000000-0010-0000-0000-000002000000}" name="Score"/>
  </tableColumns>
  <tableStyleInfo name="Look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2B" displayName="Cat2B" ref="D21:E33">
  <tableColumns count="2">
    <tableColumn id="1" xr3:uid="{00000000-0010-0000-0100-000001000000}" name="Type"/>
    <tableColumn id="2" xr3:uid="{00000000-0010-0000-0100-000002000000}" name="Score"/>
  </tableColumns>
  <tableStyleInfo name="Lookup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2C" displayName="Cat2C" ref="G21:H33">
  <tableColumns count="2">
    <tableColumn id="1" xr3:uid="{00000000-0010-0000-0200-000001000000}" name="Type"/>
    <tableColumn id="2" xr3:uid="{00000000-0010-0000-0200-000002000000}" name="Score"/>
  </tableColumns>
  <tableStyleInfo name="Lookup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3A" displayName="Cat3A" ref="A39:C57">
  <tableColumns count="3">
    <tableColumn id="1" xr3:uid="{00000000-0010-0000-0300-000001000000}" name="Classification"/>
    <tableColumn id="2" xr3:uid="{00000000-0010-0000-0300-000002000000}" name="AuthorType"/>
    <tableColumn id="3" xr3:uid="{00000000-0010-0000-0300-000003000000}" name="Score"/>
  </tableColumns>
  <tableStyleInfo name="Lookup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3B" displayName="Cat3B" ref="E39:G81">
  <tableColumns count="3">
    <tableColumn id="1" xr3:uid="{00000000-0010-0000-0400-000001000000}" name="Category"/>
    <tableColumn id="2" xr3:uid="{00000000-0010-0000-0400-000002000000}" name="Type"/>
    <tableColumn id="3" xr3:uid="{00000000-0010-0000-0400-000003000000}" name="Score"/>
  </tableColumns>
  <tableStyleInfo name="Lookup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/>
  </sheetViews>
  <sheetFormatPr defaultColWidth="12.5703125" defaultRowHeight="15.75" customHeight="1" x14ac:dyDescent="0.2"/>
  <cols>
    <col min="1" max="1" width="23.7109375" customWidth="1"/>
    <col min="2" max="2" width="22.42578125" customWidth="1"/>
    <col min="3" max="3" width="21.28515625" customWidth="1"/>
    <col min="4" max="4" width="23.42578125" customWidth="1"/>
    <col min="5" max="5" width="32.42578125" customWidth="1"/>
    <col min="6" max="6" width="22.42578125" customWidth="1"/>
  </cols>
  <sheetData>
    <row r="1" spans="1:4" ht="12.75" x14ac:dyDescent="0.2">
      <c r="A1" s="1" t="s">
        <v>0</v>
      </c>
      <c r="B1" s="1" t="s">
        <v>1</v>
      </c>
    </row>
    <row r="2" spans="1:4" ht="12.75" x14ac:dyDescent="0.2">
      <c r="A2" s="2" t="s">
        <v>2</v>
      </c>
      <c r="B2" s="2" t="s">
        <v>3</v>
      </c>
    </row>
    <row r="3" spans="1:4" ht="12.75" x14ac:dyDescent="0.2">
      <c r="A3" s="2" t="s">
        <v>4</v>
      </c>
      <c r="B3" s="2" t="s">
        <v>5</v>
      </c>
    </row>
    <row r="4" spans="1:4" ht="12.75" x14ac:dyDescent="0.2">
      <c r="A4" s="2"/>
      <c r="B4" s="2" t="s">
        <v>6</v>
      </c>
    </row>
    <row r="5" spans="1:4" ht="12.75" x14ac:dyDescent="0.2">
      <c r="A5" s="2"/>
      <c r="B5" s="2" t="s">
        <v>7</v>
      </c>
    </row>
    <row r="6" spans="1:4" ht="12.75" x14ac:dyDescent="0.2">
      <c r="A6" s="2"/>
      <c r="B6" s="2" t="s">
        <v>8</v>
      </c>
    </row>
    <row r="8" spans="1:4" ht="15.75" customHeight="1" x14ac:dyDescent="0.3">
      <c r="A8" s="3" t="s">
        <v>9</v>
      </c>
    </row>
    <row r="9" spans="1:4" ht="12.75" x14ac:dyDescent="0.2">
      <c r="A9" s="4" t="s">
        <v>10</v>
      </c>
      <c r="B9" s="4" t="s">
        <v>11</v>
      </c>
      <c r="C9" s="4" t="s">
        <v>12</v>
      </c>
      <c r="D9" s="4" t="s">
        <v>13</v>
      </c>
    </row>
    <row r="10" spans="1:4" ht="12.75" x14ac:dyDescent="0.2">
      <c r="A10" s="5"/>
      <c r="B10" s="5"/>
      <c r="C10" s="5"/>
      <c r="D10" s="5"/>
    </row>
    <row r="12" spans="1:4" ht="15.75" customHeight="1" x14ac:dyDescent="0.3">
      <c r="A12" s="3" t="s">
        <v>14</v>
      </c>
    </row>
    <row r="13" spans="1:4" ht="12.75" x14ac:dyDescent="0.2">
      <c r="A13" s="4" t="s">
        <v>15</v>
      </c>
      <c r="B13" s="4" t="s">
        <v>16</v>
      </c>
      <c r="C13" s="4" t="s">
        <v>17</v>
      </c>
      <c r="D13" s="4" t="s">
        <v>18</v>
      </c>
    </row>
    <row r="14" spans="1:4" ht="12.75" x14ac:dyDescent="0.2">
      <c r="A14" s="5"/>
      <c r="B14" s="5"/>
      <c r="C14" s="5"/>
      <c r="D14" s="5"/>
    </row>
    <row r="16" spans="1:4" ht="15.75" customHeight="1" x14ac:dyDescent="0.3">
      <c r="A16" s="3" t="s">
        <v>19</v>
      </c>
    </row>
    <row r="17" spans="1:10" ht="12.75" x14ac:dyDescent="0.2">
      <c r="A17" s="4" t="s">
        <v>15</v>
      </c>
      <c r="B17" s="4" t="s">
        <v>16</v>
      </c>
      <c r="C17" s="4" t="s">
        <v>17</v>
      </c>
      <c r="D17" s="4" t="s">
        <v>18</v>
      </c>
    </row>
    <row r="18" spans="1:10" ht="12.75" x14ac:dyDescent="0.2">
      <c r="A18" s="5"/>
      <c r="B18" s="5"/>
      <c r="C18" s="5"/>
      <c r="D18" s="5"/>
    </row>
    <row r="21" spans="1:10" ht="12.75" x14ac:dyDescent="0.2">
      <c r="A21" s="4" t="s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25</v>
      </c>
      <c r="G21" s="4" t="s">
        <v>26</v>
      </c>
      <c r="H21" s="4" t="s">
        <v>27</v>
      </c>
      <c r="I21" s="4" t="s">
        <v>28</v>
      </c>
      <c r="J21" s="1"/>
    </row>
    <row r="22" spans="1:10" ht="12.75" x14ac:dyDescent="0.2">
      <c r="A22" s="4" t="s">
        <v>2</v>
      </c>
      <c r="B22" s="5">
        <v>60</v>
      </c>
      <c r="C22" s="5">
        <v>20</v>
      </c>
      <c r="D22" s="5">
        <v>15</v>
      </c>
      <c r="E22" s="5">
        <v>15</v>
      </c>
      <c r="F22" s="5">
        <v>15</v>
      </c>
      <c r="G22" s="5">
        <v>15</v>
      </c>
      <c r="H22" s="5" t="s">
        <v>29</v>
      </c>
      <c r="I22" s="5" t="s">
        <v>29</v>
      </c>
    </row>
    <row r="23" spans="1:10" ht="12.75" x14ac:dyDescent="0.2">
      <c r="A23" s="4" t="s">
        <v>4</v>
      </c>
      <c r="B23" s="5"/>
      <c r="C23" s="5"/>
      <c r="D23" s="5"/>
      <c r="E23" s="5"/>
      <c r="F23" s="5"/>
      <c r="G23" s="5"/>
      <c r="H23" s="5"/>
      <c r="I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18"/>
  <sheetViews>
    <sheetView workbookViewId="0"/>
  </sheetViews>
  <sheetFormatPr defaultColWidth="12.5703125" defaultRowHeight="15.75" customHeight="1" x14ac:dyDescent="0.2"/>
  <cols>
    <col min="1" max="1" width="47.85546875" customWidth="1"/>
    <col min="2" max="2" width="38.7109375" customWidth="1"/>
    <col min="4" max="4" width="37.5703125" customWidth="1"/>
    <col min="5" max="5" width="64.7109375" customWidth="1"/>
    <col min="6" max="6" width="59.42578125" customWidth="1"/>
    <col min="7" max="7" width="34.7109375" customWidth="1"/>
  </cols>
  <sheetData>
    <row r="1" spans="1:14" ht="12.75" x14ac:dyDescent="0.2">
      <c r="A1" s="6"/>
      <c r="B1" s="6"/>
      <c r="J1" t="s">
        <v>191</v>
      </c>
      <c r="K1" t="s">
        <v>193</v>
      </c>
      <c r="L1" t="s">
        <v>203</v>
      </c>
      <c r="M1" t="s">
        <v>204</v>
      </c>
      <c r="N1" t="s">
        <v>205</v>
      </c>
    </row>
    <row r="2" spans="1:14" ht="12.75" x14ac:dyDescent="0.2">
      <c r="A2" s="1" t="s">
        <v>30</v>
      </c>
      <c r="J2" t="s">
        <v>153</v>
      </c>
      <c r="K2" t="s">
        <v>162</v>
      </c>
      <c r="L2" t="s">
        <v>86</v>
      </c>
      <c r="M2" t="s">
        <v>87</v>
      </c>
      <c r="N2" t="s">
        <v>88</v>
      </c>
    </row>
    <row r="3" spans="1:14" ht="12.75" x14ac:dyDescent="0.2">
      <c r="A3" s="4" t="s">
        <v>2</v>
      </c>
      <c r="B3" s="4" t="s">
        <v>31</v>
      </c>
      <c r="C3" s="4" t="s">
        <v>32</v>
      </c>
      <c r="D3" s="4" t="s">
        <v>33</v>
      </c>
      <c r="E3" s="4" t="s">
        <v>34</v>
      </c>
      <c r="J3" t="s">
        <v>192</v>
      </c>
      <c r="K3" t="s">
        <v>194</v>
      </c>
      <c r="L3" t="s">
        <v>94</v>
      </c>
      <c r="M3" t="s">
        <v>90</v>
      </c>
      <c r="N3" t="s">
        <v>95</v>
      </c>
    </row>
    <row r="4" spans="1:14" ht="12.75" x14ac:dyDescent="0.2">
      <c r="A4" s="5" t="s">
        <v>35</v>
      </c>
      <c r="B4" s="5">
        <v>80</v>
      </c>
      <c r="C4" s="5">
        <v>70</v>
      </c>
      <c r="D4" s="5">
        <v>70</v>
      </c>
      <c r="E4" s="5">
        <v>160</v>
      </c>
      <c r="K4" t="s">
        <v>195</v>
      </c>
      <c r="L4" t="s">
        <v>99</v>
      </c>
      <c r="M4" t="s">
        <v>92</v>
      </c>
      <c r="N4" t="s">
        <v>100</v>
      </c>
    </row>
    <row r="5" spans="1:14" ht="12.75" x14ac:dyDescent="0.2">
      <c r="A5" s="5" t="s">
        <v>36</v>
      </c>
      <c r="B5" s="5">
        <v>75</v>
      </c>
      <c r="C5" s="5">
        <v>70</v>
      </c>
      <c r="D5" s="5">
        <v>100</v>
      </c>
      <c r="E5" s="5">
        <v>190</v>
      </c>
      <c r="K5" t="s">
        <v>196</v>
      </c>
      <c r="L5" t="s">
        <v>102</v>
      </c>
      <c r="N5" t="s">
        <v>103</v>
      </c>
    </row>
    <row r="6" spans="1:14" ht="12.75" x14ac:dyDescent="0.2">
      <c r="A6" s="5" t="s">
        <v>37</v>
      </c>
      <c r="B6" s="5">
        <v>70</v>
      </c>
      <c r="C6" s="5">
        <v>70</v>
      </c>
      <c r="D6" s="5">
        <v>120</v>
      </c>
      <c r="E6" s="5">
        <v>220</v>
      </c>
      <c r="L6" t="s">
        <v>107</v>
      </c>
      <c r="N6" t="s">
        <v>112</v>
      </c>
    </row>
    <row r="7" spans="1:14" ht="12.75" x14ac:dyDescent="0.2">
      <c r="A7" s="5" t="s">
        <v>38</v>
      </c>
      <c r="B7" s="5">
        <v>70</v>
      </c>
      <c r="C7" s="5">
        <v>70</v>
      </c>
      <c r="D7" s="5">
        <v>140</v>
      </c>
      <c r="E7" s="5">
        <v>230</v>
      </c>
      <c r="L7" t="s">
        <v>111</v>
      </c>
      <c r="N7" t="s">
        <v>114</v>
      </c>
    </row>
    <row r="8" spans="1:14" ht="12.75" x14ac:dyDescent="0.2">
      <c r="A8" s="4" t="s">
        <v>39</v>
      </c>
      <c r="B8" s="4" t="s">
        <v>31</v>
      </c>
      <c r="C8" s="4" t="s">
        <v>32</v>
      </c>
      <c r="D8" s="4" t="s">
        <v>33</v>
      </c>
      <c r="E8" s="4" t="s">
        <v>34</v>
      </c>
      <c r="N8" t="s">
        <v>115</v>
      </c>
    </row>
    <row r="9" spans="1:14" ht="12.75" x14ac:dyDescent="0.2">
      <c r="A9" s="5" t="s">
        <v>35</v>
      </c>
      <c r="B9" s="5"/>
      <c r="C9" s="5"/>
      <c r="D9" s="5"/>
      <c r="E9" s="5"/>
      <c r="N9" t="s">
        <v>116</v>
      </c>
    </row>
    <row r="10" spans="1:14" ht="12.75" x14ac:dyDescent="0.2">
      <c r="A10" s="5" t="s">
        <v>36</v>
      </c>
      <c r="B10" s="5"/>
      <c r="C10" s="5"/>
      <c r="D10" s="5"/>
      <c r="E10" s="5"/>
      <c r="N10" t="s">
        <v>121</v>
      </c>
    </row>
    <row r="11" spans="1:14" ht="12.75" x14ac:dyDescent="0.2">
      <c r="A11" s="5" t="s">
        <v>37</v>
      </c>
      <c r="B11" s="5"/>
      <c r="C11" s="5"/>
      <c r="D11" s="5"/>
      <c r="E11" s="5"/>
      <c r="N11" t="s">
        <v>124</v>
      </c>
    </row>
    <row r="12" spans="1:14" ht="12.75" x14ac:dyDescent="0.2">
      <c r="A12" s="5" t="s">
        <v>38</v>
      </c>
      <c r="B12" s="5"/>
      <c r="C12" s="5"/>
      <c r="D12" s="5"/>
      <c r="E12" s="5"/>
      <c r="N12" t="s">
        <v>131</v>
      </c>
    </row>
    <row r="13" spans="1:14" ht="12.75" x14ac:dyDescent="0.2">
      <c r="A13" s="1"/>
    </row>
    <row r="14" spans="1:14" ht="12.75" x14ac:dyDescent="0.2">
      <c r="A14" s="4" t="s">
        <v>40</v>
      </c>
      <c r="B14" s="5"/>
    </row>
    <row r="15" spans="1:14" ht="12.75" x14ac:dyDescent="0.2">
      <c r="A15" s="5" t="s">
        <v>41</v>
      </c>
      <c r="B15" s="7" t="s">
        <v>42</v>
      </c>
    </row>
    <row r="16" spans="1:14" ht="12.75" x14ac:dyDescent="0.2">
      <c r="A16" s="5" t="s">
        <v>43</v>
      </c>
      <c r="B16" s="7">
        <v>3.5</v>
      </c>
    </row>
    <row r="17" spans="1:8" ht="12.75" x14ac:dyDescent="0.2">
      <c r="A17" s="2"/>
    </row>
    <row r="18" spans="1:8" ht="18" x14ac:dyDescent="0.25">
      <c r="A18" s="36" t="s">
        <v>44</v>
      </c>
      <c r="B18" s="37"/>
      <c r="C18" s="37"/>
      <c r="D18" s="37"/>
      <c r="E18" s="37"/>
      <c r="F18" s="37"/>
      <c r="G18" s="37"/>
      <c r="H18" s="37"/>
    </row>
    <row r="21" spans="1:8" ht="22.5" customHeight="1" x14ac:dyDescent="0.2">
      <c r="A21" s="8" t="s">
        <v>45</v>
      </c>
      <c r="B21" s="8" t="s">
        <v>46</v>
      </c>
      <c r="D21" s="8" t="s">
        <v>45</v>
      </c>
      <c r="E21" s="8" t="s">
        <v>46</v>
      </c>
      <c r="G21" s="8" t="s">
        <v>45</v>
      </c>
      <c r="H21" s="8" t="s">
        <v>46</v>
      </c>
    </row>
    <row r="22" spans="1:8" ht="22.5" customHeight="1" x14ac:dyDescent="0.2">
      <c r="A22" s="9" t="s">
        <v>47</v>
      </c>
      <c r="B22" s="9">
        <v>100</v>
      </c>
      <c r="D22" s="9" t="s">
        <v>48</v>
      </c>
      <c r="E22" s="9">
        <v>60</v>
      </c>
      <c r="G22" s="10" t="s">
        <v>49</v>
      </c>
      <c r="H22" s="11">
        <v>20</v>
      </c>
    </row>
    <row r="23" spans="1:8" ht="22.5" customHeight="1" x14ac:dyDescent="0.2">
      <c r="A23" s="9" t="s">
        <v>50</v>
      </c>
      <c r="B23" s="9">
        <v>50</v>
      </c>
      <c r="D23" s="9" t="s">
        <v>51</v>
      </c>
      <c r="E23" s="9">
        <v>45</v>
      </c>
      <c r="G23" s="10" t="s">
        <v>52</v>
      </c>
      <c r="H23" s="11">
        <v>20</v>
      </c>
    </row>
    <row r="24" spans="1:8" ht="22.5" customHeight="1" x14ac:dyDescent="0.2">
      <c r="A24" s="9" t="s">
        <v>53</v>
      </c>
      <c r="B24" s="9">
        <v>20</v>
      </c>
      <c r="D24" s="9" t="s">
        <v>54</v>
      </c>
      <c r="E24" s="9">
        <v>30</v>
      </c>
      <c r="G24" s="10" t="s">
        <v>55</v>
      </c>
      <c r="H24" s="11">
        <v>20</v>
      </c>
    </row>
    <row r="25" spans="1:8" ht="22.5" customHeight="1" x14ac:dyDescent="0.2">
      <c r="A25" s="9" t="s">
        <v>56</v>
      </c>
      <c r="B25" s="9">
        <v>20</v>
      </c>
      <c r="D25" s="9" t="s">
        <v>57</v>
      </c>
      <c r="E25" s="9">
        <v>10</v>
      </c>
      <c r="G25" s="10" t="s">
        <v>58</v>
      </c>
      <c r="H25" s="11">
        <v>20</v>
      </c>
    </row>
    <row r="26" spans="1:8" ht="22.5" customHeight="1" x14ac:dyDescent="0.2">
      <c r="A26" s="9" t="s">
        <v>59</v>
      </c>
      <c r="B26" s="9">
        <v>20</v>
      </c>
      <c r="D26" s="9" t="s">
        <v>60</v>
      </c>
      <c r="E26" s="9">
        <v>12.5</v>
      </c>
      <c r="G26" s="10" t="s">
        <v>61</v>
      </c>
      <c r="H26" s="11">
        <v>30</v>
      </c>
    </row>
    <row r="27" spans="1:8" ht="22.5" customHeight="1" x14ac:dyDescent="0.2">
      <c r="A27" s="9" t="s">
        <v>62</v>
      </c>
      <c r="B27" s="9">
        <v>20</v>
      </c>
      <c r="D27" s="9" t="s">
        <v>63</v>
      </c>
      <c r="E27" s="9">
        <v>45</v>
      </c>
      <c r="G27" s="10" t="s">
        <v>64</v>
      </c>
      <c r="H27" s="11">
        <v>20</v>
      </c>
    </row>
    <row r="28" spans="1:8" ht="22.5" customHeight="1" x14ac:dyDescent="0.2">
      <c r="A28" s="9" t="s">
        <v>65</v>
      </c>
      <c r="B28" s="9">
        <v>100</v>
      </c>
      <c r="D28" s="9" t="s">
        <v>66</v>
      </c>
      <c r="E28" s="9">
        <v>15</v>
      </c>
      <c r="G28" s="10" t="s">
        <v>67</v>
      </c>
      <c r="H28" s="11">
        <v>20</v>
      </c>
    </row>
    <row r="29" spans="1:8" ht="22.5" customHeight="1" x14ac:dyDescent="0.2">
      <c r="A29" s="9" t="s">
        <v>68</v>
      </c>
      <c r="B29" s="9">
        <v>50</v>
      </c>
      <c r="D29" s="9" t="s">
        <v>69</v>
      </c>
      <c r="E29" s="9">
        <v>7.5</v>
      </c>
      <c r="G29" s="10" t="s">
        <v>70</v>
      </c>
      <c r="H29" s="11">
        <v>20</v>
      </c>
    </row>
    <row r="30" spans="1:8" ht="22.5" customHeight="1" x14ac:dyDescent="0.2">
      <c r="A30" s="9" t="s">
        <v>71</v>
      </c>
      <c r="B30" s="9">
        <v>200</v>
      </c>
      <c r="D30" s="9" t="s">
        <v>72</v>
      </c>
      <c r="E30" s="9">
        <v>30</v>
      </c>
      <c r="G30" s="10" t="s">
        <v>73</v>
      </c>
      <c r="H30" s="11">
        <v>10</v>
      </c>
    </row>
    <row r="31" spans="1:8" ht="22.5" customHeight="1" x14ac:dyDescent="0.2">
      <c r="A31" s="9" t="s">
        <v>74</v>
      </c>
      <c r="B31" s="9">
        <v>20</v>
      </c>
      <c r="D31" s="9" t="s">
        <v>75</v>
      </c>
      <c r="E31" s="9">
        <v>2</v>
      </c>
      <c r="G31" s="10" t="s">
        <v>76</v>
      </c>
      <c r="H31" s="11">
        <v>100</v>
      </c>
    </row>
    <row r="32" spans="1:8" ht="22.5" customHeight="1" x14ac:dyDescent="0.2">
      <c r="A32" s="9" t="s">
        <v>77</v>
      </c>
      <c r="B32" s="9">
        <v>50</v>
      </c>
      <c r="D32" s="9" t="s">
        <v>78</v>
      </c>
      <c r="E32" s="9">
        <v>15</v>
      </c>
      <c r="G32" s="10" t="s">
        <v>79</v>
      </c>
      <c r="H32" s="11">
        <v>50</v>
      </c>
    </row>
    <row r="33" spans="1:8" ht="22.5" customHeight="1" x14ac:dyDescent="0.2">
      <c r="D33" s="9" t="s">
        <v>80</v>
      </c>
      <c r="E33" s="9">
        <v>15</v>
      </c>
      <c r="G33" s="10" t="s">
        <v>81</v>
      </c>
      <c r="H33" s="11">
        <v>100</v>
      </c>
    </row>
    <row r="36" spans="1:8" ht="18" x14ac:dyDescent="0.25">
      <c r="A36" s="36" t="s">
        <v>82</v>
      </c>
      <c r="B36" s="37"/>
      <c r="C36" s="37"/>
      <c r="D36" s="37"/>
      <c r="E36" s="37"/>
      <c r="F36" s="37"/>
      <c r="G36" s="37"/>
      <c r="H36" s="37"/>
    </row>
    <row r="39" spans="1:8" ht="22.5" customHeight="1" x14ac:dyDescent="0.2">
      <c r="A39" s="8" t="s">
        <v>83</v>
      </c>
      <c r="B39" s="8" t="s">
        <v>84</v>
      </c>
      <c r="C39" s="8" t="s">
        <v>46</v>
      </c>
      <c r="E39" s="8" t="s">
        <v>85</v>
      </c>
      <c r="F39" s="8" t="s">
        <v>45</v>
      </c>
      <c r="G39" s="8" t="s">
        <v>46</v>
      </c>
    </row>
    <row r="40" spans="1:8" ht="22.5" customHeight="1" x14ac:dyDescent="0.2">
      <c r="A40" s="9" t="s">
        <v>86</v>
      </c>
      <c r="B40" s="9" t="s">
        <v>87</v>
      </c>
      <c r="C40" s="9">
        <v>45</v>
      </c>
      <c r="E40" s="9" t="s">
        <v>88</v>
      </c>
      <c r="F40" s="9" t="s">
        <v>89</v>
      </c>
      <c r="G40" s="11">
        <v>15</v>
      </c>
    </row>
    <row r="41" spans="1:8" ht="22.5" customHeight="1" x14ac:dyDescent="0.2">
      <c r="A41" s="9" t="s">
        <v>86</v>
      </c>
      <c r="B41" s="9" t="s">
        <v>90</v>
      </c>
      <c r="C41" s="9">
        <v>31.5</v>
      </c>
      <c r="E41" s="9" t="s">
        <v>88</v>
      </c>
      <c r="F41" s="9" t="s">
        <v>91</v>
      </c>
      <c r="G41" s="11">
        <v>10</v>
      </c>
    </row>
    <row r="42" spans="1:8" ht="22.5" customHeight="1" x14ac:dyDescent="0.2">
      <c r="A42" s="9" t="s">
        <v>86</v>
      </c>
      <c r="B42" s="9" t="s">
        <v>92</v>
      </c>
      <c r="C42" s="9">
        <v>13.5</v>
      </c>
      <c r="E42" s="9" t="s">
        <v>88</v>
      </c>
      <c r="F42" s="9" t="s">
        <v>93</v>
      </c>
      <c r="G42" s="11">
        <v>5</v>
      </c>
    </row>
    <row r="43" spans="1:8" ht="22.5" customHeight="1" x14ac:dyDescent="0.2">
      <c r="A43" s="9" t="s">
        <v>94</v>
      </c>
      <c r="B43" s="9" t="s">
        <v>87</v>
      </c>
      <c r="C43" s="9">
        <v>40</v>
      </c>
      <c r="E43" s="9" t="s">
        <v>95</v>
      </c>
      <c r="F43" s="9" t="s">
        <v>96</v>
      </c>
      <c r="G43" s="11">
        <v>7</v>
      </c>
    </row>
    <row r="44" spans="1:8" ht="22.5" customHeight="1" x14ac:dyDescent="0.2">
      <c r="A44" s="9" t="s">
        <v>94</v>
      </c>
      <c r="B44" s="9" t="s">
        <v>90</v>
      </c>
      <c r="C44" s="9">
        <v>28</v>
      </c>
      <c r="E44" s="9" t="s">
        <v>95</v>
      </c>
      <c r="F44" s="9" t="s">
        <v>97</v>
      </c>
      <c r="G44" s="11">
        <v>5</v>
      </c>
    </row>
    <row r="45" spans="1:8" ht="22.5" customHeight="1" x14ac:dyDescent="0.2">
      <c r="A45" s="9" t="s">
        <v>94</v>
      </c>
      <c r="B45" s="9" t="s">
        <v>92</v>
      </c>
      <c r="C45" s="9">
        <v>12</v>
      </c>
      <c r="E45" s="9" t="s">
        <v>95</v>
      </c>
      <c r="F45" s="9" t="s">
        <v>98</v>
      </c>
      <c r="G45" s="11">
        <v>3</v>
      </c>
    </row>
    <row r="46" spans="1:8" ht="22.5" customHeight="1" x14ac:dyDescent="0.2">
      <c r="A46" s="9" t="s">
        <v>99</v>
      </c>
      <c r="B46" s="9" t="s">
        <v>87</v>
      </c>
      <c r="C46" s="9">
        <v>35</v>
      </c>
      <c r="E46" s="9" t="s">
        <v>100</v>
      </c>
      <c r="F46" s="9" t="s">
        <v>96</v>
      </c>
      <c r="G46" s="11">
        <v>5</v>
      </c>
    </row>
    <row r="47" spans="1:8" ht="22.5" customHeight="1" x14ac:dyDescent="0.2">
      <c r="A47" s="9" t="s">
        <v>99</v>
      </c>
      <c r="B47" s="9" t="s">
        <v>90</v>
      </c>
      <c r="C47" s="9">
        <v>24.5</v>
      </c>
      <c r="E47" s="9" t="s">
        <v>100</v>
      </c>
      <c r="F47" s="9" t="s">
        <v>97</v>
      </c>
      <c r="G47" s="11">
        <v>3</v>
      </c>
    </row>
    <row r="48" spans="1:8" ht="22.5" customHeight="1" x14ac:dyDescent="0.2">
      <c r="A48" s="9" t="s">
        <v>99</v>
      </c>
      <c r="B48" s="9" t="s">
        <v>92</v>
      </c>
      <c r="C48" s="9">
        <v>10.5</v>
      </c>
      <c r="E48" s="9" t="s">
        <v>100</v>
      </c>
      <c r="F48" s="9" t="s">
        <v>101</v>
      </c>
      <c r="G48" s="11">
        <v>2</v>
      </c>
    </row>
    <row r="49" spans="1:7" ht="22.5" customHeight="1" x14ac:dyDescent="0.2">
      <c r="A49" s="9" t="s">
        <v>102</v>
      </c>
      <c r="B49" s="9" t="s">
        <v>87</v>
      </c>
      <c r="C49" s="9">
        <v>30</v>
      </c>
      <c r="E49" s="9" t="s">
        <v>103</v>
      </c>
      <c r="F49" s="9" t="s">
        <v>104</v>
      </c>
      <c r="G49" s="11">
        <v>3</v>
      </c>
    </row>
    <row r="50" spans="1:7" ht="22.5" customHeight="1" x14ac:dyDescent="0.2">
      <c r="A50" s="9" t="s">
        <v>102</v>
      </c>
      <c r="B50" s="9" t="s">
        <v>90</v>
      </c>
      <c r="C50" s="9">
        <v>21</v>
      </c>
      <c r="E50" s="9" t="s">
        <v>103</v>
      </c>
      <c r="F50" s="9" t="s">
        <v>105</v>
      </c>
      <c r="G50" s="11">
        <v>1.5</v>
      </c>
    </row>
    <row r="51" spans="1:7" ht="22.5" customHeight="1" x14ac:dyDescent="0.2">
      <c r="A51" s="9" t="s">
        <v>102</v>
      </c>
      <c r="B51" s="9" t="s">
        <v>92</v>
      </c>
      <c r="C51" s="9">
        <v>9</v>
      </c>
      <c r="E51" s="9" t="s">
        <v>103</v>
      </c>
      <c r="F51" s="9" t="s">
        <v>106</v>
      </c>
      <c r="G51" s="11">
        <v>7</v>
      </c>
    </row>
    <row r="52" spans="1:7" ht="22.5" customHeight="1" x14ac:dyDescent="0.2">
      <c r="A52" s="9" t="s">
        <v>107</v>
      </c>
      <c r="B52" s="9" t="s">
        <v>87</v>
      </c>
      <c r="C52" s="9">
        <v>25</v>
      </c>
      <c r="E52" s="9" t="s">
        <v>103</v>
      </c>
      <c r="F52" s="9" t="s">
        <v>108</v>
      </c>
      <c r="G52" s="11">
        <v>3.5</v>
      </c>
    </row>
    <row r="53" spans="1:7" ht="22.5" customHeight="1" x14ac:dyDescent="0.2">
      <c r="A53" s="9" t="s">
        <v>107</v>
      </c>
      <c r="B53" s="9" t="s">
        <v>90</v>
      </c>
      <c r="C53" s="9">
        <v>17.5</v>
      </c>
      <c r="E53" s="9" t="s">
        <v>103</v>
      </c>
      <c r="F53" s="9" t="s">
        <v>109</v>
      </c>
      <c r="G53" s="11">
        <v>10</v>
      </c>
    </row>
    <row r="54" spans="1:7" ht="22.5" customHeight="1" x14ac:dyDescent="0.2">
      <c r="A54" s="9" t="s">
        <v>107</v>
      </c>
      <c r="B54" s="9" t="s">
        <v>92</v>
      </c>
      <c r="C54" s="9">
        <v>7.5</v>
      </c>
      <c r="E54" s="9" t="s">
        <v>103</v>
      </c>
      <c r="F54" s="9" t="s">
        <v>110</v>
      </c>
      <c r="G54" s="11">
        <v>5</v>
      </c>
    </row>
    <row r="55" spans="1:7" ht="22.5" customHeight="1" x14ac:dyDescent="0.2">
      <c r="A55" s="9" t="s">
        <v>111</v>
      </c>
      <c r="B55" s="9" t="s">
        <v>87</v>
      </c>
      <c r="C55" s="9">
        <v>10</v>
      </c>
      <c r="E55" s="9" t="s">
        <v>112</v>
      </c>
      <c r="F55" s="9" t="s">
        <v>113</v>
      </c>
      <c r="G55" s="11">
        <v>6</v>
      </c>
    </row>
    <row r="56" spans="1:7" ht="22.5" customHeight="1" x14ac:dyDescent="0.2">
      <c r="A56" s="9" t="s">
        <v>111</v>
      </c>
      <c r="B56" s="9" t="s">
        <v>90</v>
      </c>
      <c r="C56" s="9">
        <v>7</v>
      </c>
      <c r="E56" s="9" t="s">
        <v>112</v>
      </c>
      <c r="F56" s="9" t="s">
        <v>90</v>
      </c>
      <c r="G56" s="11">
        <v>14</v>
      </c>
    </row>
    <row r="57" spans="1:7" ht="22.5" customHeight="1" x14ac:dyDescent="0.2">
      <c r="A57" s="9" t="s">
        <v>111</v>
      </c>
      <c r="B57" s="9" t="s">
        <v>92</v>
      </c>
      <c r="C57" s="9">
        <v>3</v>
      </c>
      <c r="E57" s="9" t="s">
        <v>112</v>
      </c>
      <c r="F57" s="9" t="s">
        <v>87</v>
      </c>
      <c r="G57" s="11">
        <v>20</v>
      </c>
    </row>
    <row r="58" spans="1:7" ht="22.5" customHeight="1" x14ac:dyDescent="0.2">
      <c r="E58" s="9" t="s">
        <v>114</v>
      </c>
      <c r="F58" s="9" t="s">
        <v>113</v>
      </c>
      <c r="G58" s="11">
        <v>4.5</v>
      </c>
    </row>
    <row r="59" spans="1:7" ht="22.5" customHeight="1" x14ac:dyDescent="0.2">
      <c r="E59" s="9" t="s">
        <v>114</v>
      </c>
      <c r="F59" s="9" t="s">
        <v>90</v>
      </c>
      <c r="G59" s="11">
        <v>10.5</v>
      </c>
    </row>
    <row r="60" spans="1:7" ht="22.5" customHeight="1" x14ac:dyDescent="0.2">
      <c r="E60" s="9" t="s">
        <v>114</v>
      </c>
      <c r="F60" s="9" t="s">
        <v>87</v>
      </c>
      <c r="G60" s="11">
        <v>15</v>
      </c>
    </row>
    <row r="61" spans="1:7" ht="22.5" customHeight="1" x14ac:dyDescent="0.2">
      <c r="E61" s="9" t="s">
        <v>115</v>
      </c>
      <c r="F61" s="9" t="s">
        <v>87</v>
      </c>
      <c r="G61" s="11">
        <v>30</v>
      </c>
    </row>
    <row r="62" spans="1:7" ht="22.5" customHeight="1" x14ac:dyDescent="0.2">
      <c r="E62" s="9" t="s">
        <v>115</v>
      </c>
      <c r="F62" s="9" t="s">
        <v>90</v>
      </c>
      <c r="G62" s="11">
        <v>21</v>
      </c>
    </row>
    <row r="63" spans="1:7" ht="22.5" customHeight="1" x14ac:dyDescent="0.2">
      <c r="E63" s="9" t="s">
        <v>115</v>
      </c>
      <c r="F63" s="9" t="s">
        <v>113</v>
      </c>
      <c r="G63" s="11">
        <v>9</v>
      </c>
    </row>
    <row r="64" spans="1:7" ht="22.5" customHeight="1" x14ac:dyDescent="0.2">
      <c r="E64" s="9" t="s">
        <v>116</v>
      </c>
      <c r="F64" s="9" t="s">
        <v>117</v>
      </c>
      <c r="G64" s="11">
        <v>5</v>
      </c>
    </row>
    <row r="65" spans="5:7" ht="22.5" customHeight="1" x14ac:dyDescent="0.2">
      <c r="E65" s="9" t="s">
        <v>116</v>
      </c>
      <c r="F65" s="9" t="s">
        <v>118</v>
      </c>
      <c r="G65" s="11">
        <v>15</v>
      </c>
    </row>
    <row r="66" spans="5:7" ht="22.5" customHeight="1" x14ac:dyDescent="0.2">
      <c r="E66" s="9" t="s">
        <v>116</v>
      </c>
      <c r="F66" s="9" t="s">
        <v>119</v>
      </c>
      <c r="G66" s="11">
        <v>10</v>
      </c>
    </row>
    <row r="67" spans="5:7" ht="22.5" customHeight="1" x14ac:dyDescent="0.2">
      <c r="E67" s="9" t="s">
        <v>116</v>
      </c>
      <c r="F67" s="9" t="s">
        <v>120</v>
      </c>
      <c r="G67" s="11">
        <v>3</v>
      </c>
    </row>
    <row r="68" spans="5:7" ht="22.5" customHeight="1" x14ac:dyDescent="0.2">
      <c r="E68" s="9" t="s">
        <v>121</v>
      </c>
      <c r="F68" s="9" t="s">
        <v>122</v>
      </c>
      <c r="G68" s="11">
        <v>10</v>
      </c>
    </row>
    <row r="69" spans="5:7" ht="22.5" customHeight="1" x14ac:dyDescent="0.2">
      <c r="E69" s="9" t="s">
        <v>121</v>
      </c>
      <c r="F69" s="9" t="s">
        <v>123</v>
      </c>
      <c r="G69" s="11">
        <v>10</v>
      </c>
    </row>
    <row r="70" spans="5:7" ht="22.5" customHeight="1" x14ac:dyDescent="0.2">
      <c r="E70" s="9" t="s">
        <v>124</v>
      </c>
      <c r="F70" s="9" t="s">
        <v>125</v>
      </c>
      <c r="G70" s="11">
        <v>30</v>
      </c>
    </row>
    <row r="71" spans="5:7" ht="22.5" customHeight="1" x14ac:dyDescent="0.2">
      <c r="E71" s="9" t="s">
        <v>124</v>
      </c>
      <c r="F71" s="9" t="s">
        <v>126</v>
      </c>
      <c r="G71" s="11">
        <v>20</v>
      </c>
    </row>
    <row r="72" spans="5:7" ht="22.5" customHeight="1" x14ac:dyDescent="0.2">
      <c r="E72" s="9" t="s">
        <v>124</v>
      </c>
      <c r="F72" s="9" t="s">
        <v>127</v>
      </c>
      <c r="G72" s="11">
        <v>10</v>
      </c>
    </row>
    <row r="73" spans="5:7" ht="22.5" customHeight="1" x14ac:dyDescent="0.2">
      <c r="E73" s="9" t="s">
        <v>124</v>
      </c>
      <c r="F73" s="9" t="s">
        <v>128</v>
      </c>
      <c r="G73" s="11">
        <v>5</v>
      </c>
    </row>
    <row r="74" spans="5:7" ht="22.5" customHeight="1" x14ac:dyDescent="0.2">
      <c r="E74" s="9" t="s">
        <v>124</v>
      </c>
      <c r="F74" s="9" t="s">
        <v>129</v>
      </c>
      <c r="G74" s="11">
        <v>30</v>
      </c>
    </row>
    <row r="75" spans="5:7" ht="22.5" customHeight="1" x14ac:dyDescent="0.2">
      <c r="E75" s="9" t="s">
        <v>124</v>
      </c>
      <c r="F75" s="9" t="s">
        <v>130</v>
      </c>
      <c r="G75" s="11">
        <v>20</v>
      </c>
    </row>
    <row r="76" spans="5:7" ht="22.5" customHeight="1" x14ac:dyDescent="0.2">
      <c r="E76" s="9" t="s">
        <v>131</v>
      </c>
      <c r="F76" s="9" t="s">
        <v>132</v>
      </c>
      <c r="G76" s="11">
        <v>15</v>
      </c>
    </row>
    <row r="77" spans="5:7" ht="22.5" customHeight="1" x14ac:dyDescent="0.2">
      <c r="E77" s="9" t="s">
        <v>131</v>
      </c>
      <c r="F77" s="9" t="s">
        <v>133</v>
      </c>
      <c r="G77" s="11">
        <v>15</v>
      </c>
    </row>
    <row r="78" spans="5:7" ht="22.5" customHeight="1" x14ac:dyDescent="0.2">
      <c r="E78" s="9" t="s">
        <v>131</v>
      </c>
      <c r="F78" s="9" t="s">
        <v>134</v>
      </c>
      <c r="G78" s="11">
        <v>20</v>
      </c>
    </row>
    <row r="79" spans="5:7" ht="22.5" customHeight="1" x14ac:dyDescent="0.2">
      <c r="E79" s="9" t="s">
        <v>131</v>
      </c>
      <c r="F79" s="9" t="s">
        <v>135</v>
      </c>
      <c r="G79" s="11">
        <v>20</v>
      </c>
    </row>
    <row r="80" spans="5:7" ht="22.5" customHeight="1" x14ac:dyDescent="0.2">
      <c r="E80" s="9" t="s">
        <v>131</v>
      </c>
      <c r="F80" s="9" t="s">
        <v>136</v>
      </c>
      <c r="G80" s="11">
        <v>10</v>
      </c>
    </row>
    <row r="81" spans="1:7" ht="22.5" customHeight="1" x14ac:dyDescent="0.2">
      <c r="E81" s="9" t="s">
        <v>131</v>
      </c>
      <c r="F81" s="9" t="s">
        <v>137</v>
      </c>
      <c r="G81" s="11">
        <v>10</v>
      </c>
    </row>
    <row r="83" spans="1:7" ht="12.75" x14ac:dyDescent="0.2">
      <c r="A83" s="12" t="s">
        <v>138</v>
      </c>
      <c r="B83" s="12" t="s">
        <v>139</v>
      </c>
      <c r="E83" s="12" t="s">
        <v>140</v>
      </c>
      <c r="F83" s="12" t="s">
        <v>141</v>
      </c>
    </row>
    <row r="84" spans="1:7" ht="12.75" x14ac:dyDescent="0.2">
      <c r="A84" s="5" t="s">
        <v>142</v>
      </c>
      <c r="B84" s="5" t="s">
        <v>142</v>
      </c>
      <c r="E84" s="5" t="s">
        <v>142</v>
      </c>
      <c r="F84" s="5" t="s">
        <v>142</v>
      </c>
    </row>
    <row r="85" spans="1:7" ht="12.75" x14ac:dyDescent="0.2">
      <c r="A85" s="5" t="e">
        <f t="array" aca="1" ref="A85:A90" ca="1">_xludf.UNIQUE(INDEX(Cat3A[],,1))</f>
        <v>#NAME?</v>
      </c>
      <c r="B85" s="5" t="str">
        <f ca="1">IFERROR(__xludf.DUMMYFUNCTION("UNIQUE(FILTER(INDEX(Cat3A,,2),INDEX(Cat3A,,1)='API 2025-26'!F114))"),"#N/A")</f>
        <v>#N/A</v>
      </c>
      <c r="E85" s="5" t="e">
        <f t="array" aca="1" ref="E85:E95" ca="1">_xludf.UNIQUE(INDEX(Cat3B[],,1))</f>
        <v>#NAME?</v>
      </c>
      <c r="F85" s="5" t="e">
        <f t="array" aca="1" ref="F85:F118" ca="1">_xludf.UNIQUE(INDEX(Cat3B[],,2))</f>
        <v>#NAME?</v>
      </c>
    </row>
    <row r="86" spans="1:7" ht="12.75" x14ac:dyDescent="0.2">
      <c r="A86" s="5" t="e">
        <f ca="1"/>
        <v>#NAME?</v>
      </c>
      <c r="B86" s="5"/>
      <c r="E86" s="5" t="e">
        <f ca="1"/>
        <v>#NAME?</v>
      </c>
      <c r="F86" s="5" t="e">
        <f ca="1"/>
        <v>#NAME?</v>
      </c>
    </row>
    <row r="87" spans="1:7" ht="12.75" x14ac:dyDescent="0.2">
      <c r="A87" s="5" t="e">
        <f ca="1"/>
        <v>#NAME?</v>
      </c>
      <c r="B87" s="5"/>
      <c r="E87" s="5" t="e">
        <f ca="1"/>
        <v>#NAME?</v>
      </c>
      <c r="F87" s="5" t="e">
        <f ca="1"/>
        <v>#NAME?</v>
      </c>
    </row>
    <row r="88" spans="1:7" ht="12.75" x14ac:dyDescent="0.2">
      <c r="A88" s="5" t="e">
        <f ca="1"/>
        <v>#NAME?</v>
      </c>
      <c r="E88" s="5" t="e">
        <f ca="1"/>
        <v>#NAME?</v>
      </c>
      <c r="F88" s="5" t="e">
        <f ca="1"/>
        <v>#NAME?</v>
      </c>
    </row>
    <row r="89" spans="1:7" ht="12.75" x14ac:dyDescent="0.2">
      <c r="A89" s="5" t="e">
        <f ca="1"/>
        <v>#NAME?</v>
      </c>
      <c r="E89" s="5" t="e">
        <f ca="1"/>
        <v>#NAME?</v>
      </c>
      <c r="F89" s="5" t="e">
        <f ca="1"/>
        <v>#NAME?</v>
      </c>
    </row>
    <row r="90" spans="1:7" ht="12.75" x14ac:dyDescent="0.2">
      <c r="A90" s="5" t="e">
        <f ca="1"/>
        <v>#NAME?</v>
      </c>
      <c r="E90" s="5" t="e">
        <f ca="1"/>
        <v>#NAME?</v>
      </c>
      <c r="F90" s="5" t="e">
        <f ca="1"/>
        <v>#NAME?</v>
      </c>
    </row>
    <row r="91" spans="1:7" ht="12.75" x14ac:dyDescent="0.2">
      <c r="E91" s="5" t="e">
        <f ca="1"/>
        <v>#NAME?</v>
      </c>
      <c r="F91" s="5" t="e">
        <f ca="1"/>
        <v>#NAME?</v>
      </c>
    </row>
    <row r="92" spans="1:7" ht="12.75" x14ac:dyDescent="0.2">
      <c r="E92" s="5" t="e">
        <f ca="1"/>
        <v>#NAME?</v>
      </c>
      <c r="F92" s="5" t="e">
        <f ca="1"/>
        <v>#NAME?</v>
      </c>
    </row>
    <row r="93" spans="1:7" ht="12.75" x14ac:dyDescent="0.2">
      <c r="E93" s="5" t="e">
        <f ca="1"/>
        <v>#NAME?</v>
      </c>
      <c r="F93" s="5" t="e">
        <f ca="1"/>
        <v>#NAME?</v>
      </c>
    </row>
    <row r="94" spans="1:7" ht="12.75" x14ac:dyDescent="0.2">
      <c r="E94" s="5" t="e">
        <f ca="1"/>
        <v>#NAME?</v>
      </c>
      <c r="F94" s="5" t="e">
        <f ca="1"/>
        <v>#NAME?</v>
      </c>
    </row>
    <row r="95" spans="1:7" ht="12.75" x14ac:dyDescent="0.2">
      <c r="E95" s="5" t="e">
        <f ca="1"/>
        <v>#NAME?</v>
      </c>
      <c r="F95" s="5" t="e">
        <f ca="1"/>
        <v>#NAME?</v>
      </c>
    </row>
    <row r="96" spans="1:7" ht="12.75" x14ac:dyDescent="0.2">
      <c r="F96" s="5" t="e">
        <f ca="1"/>
        <v>#NAME?</v>
      </c>
    </row>
    <row r="97" spans="6:6" ht="12.75" x14ac:dyDescent="0.2">
      <c r="F97" s="5" t="e">
        <f ca="1"/>
        <v>#NAME?</v>
      </c>
    </row>
    <row r="98" spans="6:6" ht="12.75" x14ac:dyDescent="0.2">
      <c r="F98" s="5" t="e">
        <f ca="1"/>
        <v>#NAME?</v>
      </c>
    </row>
    <row r="99" spans="6:6" ht="12.75" x14ac:dyDescent="0.2">
      <c r="F99" s="5" t="e">
        <f ca="1"/>
        <v>#NAME?</v>
      </c>
    </row>
    <row r="100" spans="6:6" ht="12.75" x14ac:dyDescent="0.2">
      <c r="F100" s="5" t="e">
        <f ca="1"/>
        <v>#NAME?</v>
      </c>
    </row>
    <row r="101" spans="6:6" ht="12.75" x14ac:dyDescent="0.2">
      <c r="F101" s="5" t="e">
        <f ca="1"/>
        <v>#NAME?</v>
      </c>
    </row>
    <row r="102" spans="6:6" ht="12.75" x14ac:dyDescent="0.2">
      <c r="F102" s="5" t="e">
        <f ca="1"/>
        <v>#NAME?</v>
      </c>
    </row>
    <row r="103" spans="6:6" ht="12.75" x14ac:dyDescent="0.2">
      <c r="F103" s="5" t="e">
        <f ca="1"/>
        <v>#NAME?</v>
      </c>
    </row>
    <row r="104" spans="6:6" ht="12.75" x14ac:dyDescent="0.2">
      <c r="F104" s="5" t="e">
        <f ca="1"/>
        <v>#NAME?</v>
      </c>
    </row>
    <row r="105" spans="6:6" ht="12.75" x14ac:dyDescent="0.2">
      <c r="F105" s="5" t="e">
        <f ca="1"/>
        <v>#NAME?</v>
      </c>
    </row>
    <row r="106" spans="6:6" ht="12.75" x14ac:dyDescent="0.2">
      <c r="F106" s="5" t="e">
        <f ca="1"/>
        <v>#NAME?</v>
      </c>
    </row>
    <row r="107" spans="6:6" ht="12.75" x14ac:dyDescent="0.2">
      <c r="F107" s="5" t="e">
        <f ca="1"/>
        <v>#NAME?</v>
      </c>
    </row>
    <row r="108" spans="6:6" ht="12.75" x14ac:dyDescent="0.2">
      <c r="F108" s="5" t="e">
        <f ca="1"/>
        <v>#NAME?</v>
      </c>
    </row>
    <row r="109" spans="6:6" ht="12.75" x14ac:dyDescent="0.2">
      <c r="F109" s="5" t="e">
        <f ca="1"/>
        <v>#NAME?</v>
      </c>
    </row>
    <row r="110" spans="6:6" ht="12.75" x14ac:dyDescent="0.2">
      <c r="F110" s="5" t="e">
        <f ca="1"/>
        <v>#NAME?</v>
      </c>
    </row>
    <row r="111" spans="6:6" ht="12.75" x14ac:dyDescent="0.2">
      <c r="F111" s="5" t="e">
        <f ca="1"/>
        <v>#NAME?</v>
      </c>
    </row>
    <row r="112" spans="6:6" ht="12.75" x14ac:dyDescent="0.2">
      <c r="F112" s="5" t="e">
        <f ca="1"/>
        <v>#NAME?</v>
      </c>
    </row>
    <row r="113" spans="6:6" ht="12.75" x14ac:dyDescent="0.2">
      <c r="F113" s="5" t="e">
        <f ca="1"/>
        <v>#NAME?</v>
      </c>
    </row>
    <row r="114" spans="6:6" ht="12.75" x14ac:dyDescent="0.2">
      <c r="F114" s="5" t="e">
        <f ca="1"/>
        <v>#NAME?</v>
      </c>
    </row>
    <row r="115" spans="6:6" ht="12.75" x14ac:dyDescent="0.2">
      <c r="F115" s="5" t="e">
        <f ca="1"/>
        <v>#NAME?</v>
      </c>
    </row>
    <row r="116" spans="6:6" ht="12.75" x14ac:dyDescent="0.2">
      <c r="F116" s="5" t="e">
        <f ca="1"/>
        <v>#NAME?</v>
      </c>
    </row>
    <row r="117" spans="6:6" ht="12.75" x14ac:dyDescent="0.2">
      <c r="F117" s="5" t="e">
        <f ca="1"/>
        <v>#NAME?</v>
      </c>
    </row>
    <row r="118" spans="6:6" ht="12.75" x14ac:dyDescent="0.2">
      <c r="F118" s="5" t="e">
        <f ca="1"/>
        <v>#NAME?</v>
      </c>
    </row>
  </sheetData>
  <mergeCells count="2">
    <mergeCell ref="A18:H18"/>
    <mergeCell ref="A36:H36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61"/>
  <sheetViews>
    <sheetView workbookViewId="0"/>
  </sheetViews>
  <sheetFormatPr defaultColWidth="12.5703125" defaultRowHeight="15.75" customHeight="1" x14ac:dyDescent="0.2"/>
  <cols>
    <col min="1" max="1" width="5.7109375" customWidth="1"/>
    <col min="2" max="2" width="9.5703125" customWidth="1"/>
    <col min="3" max="3" width="55" customWidth="1"/>
    <col min="4" max="4" width="63.42578125" customWidth="1"/>
    <col min="5" max="5" width="25" customWidth="1"/>
    <col min="6" max="6" width="14.28515625" customWidth="1"/>
    <col min="8" max="8" width="13" customWidth="1"/>
  </cols>
  <sheetData>
    <row r="1" spans="1:11" ht="15.75" customHeight="1" x14ac:dyDescent="0.3">
      <c r="A1" s="38" t="s">
        <v>143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.75" x14ac:dyDescent="0.2">
      <c r="A2" s="1" t="s">
        <v>144</v>
      </c>
      <c r="B2" s="39" t="s">
        <v>145</v>
      </c>
      <c r="C2" s="37"/>
      <c r="D2" s="37"/>
      <c r="E2" s="37"/>
      <c r="F2" s="37"/>
      <c r="G2" s="37"/>
    </row>
    <row r="3" spans="1:11" ht="12.75" x14ac:dyDescent="0.2">
      <c r="A3" s="2"/>
      <c r="B3" s="2"/>
    </row>
    <row r="4" spans="1:11" ht="12.75" x14ac:dyDescent="0.2">
      <c r="A4" s="2"/>
      <c r="B4" s="12" t="s">
        <v>146</v>
      </c>
      <c r="C4" s="12" t="s">
        <v>197</v>
      </c>
      <c r="D4" s="12" t="s">
        <v>148</v>
      </c>
      <c r="E4" s="12" t="s">
        <v>149</v>
      </c>
      <c r="F4" s="12" t="s">
        <v>198</v>
      </c>
      <c r="G4" s="12" t="s">
        <v>150</v>
      </c>
      <c r="H4" s="12" t="s">
        <v>151</v>
      </c>
      <c r="J4" s="13" t="s">
        <v>152</v>
      </c>
      <c r="K4" s="5">
        <f>60</f>
        <v>60</v>
      </c>
    </row>
    <row r="5" spans="1:11" ht="12.75" x14ac:dyDescent="0.2">
      <c r="A5" s="2"/>
      <c r="B5" s="5">
        <v>1</v>
      </c>
      <c r="C5" s="5"/>
      <c r="D5" s="4"/>
      <c r="E5" s="5"/>
      <c r="F5" s="5" t="str">
        <f>IF(OR(C5="",D5="",E5=""),"",IF(D5="Post Graduate",ROUND(E5*7/3,0),IF(D5="Under Graduate",ROUND(ROUND(E5*7/3,0)/2,1),"")))</f>
        <v/>
      </c>
      <c r="G5" s="14" t="str">
        <f>IF(F5="","",ROUND(F5/10,2))</f>
        <v/>
      </c>
      <c r="H5" s="5" t="str">
        <f t="shared" ref="H5:H9" si="0">"2025-26"</f>
        <v>2025-26</v>
      </c>
      <c r="I5" s="2"/>
    </row>
    <row r="6" spans="1:11" ht="12.75" x14ac:dyDescent="0.2">
      <c r="A6" s="2"/>
      <c r="B6" s="5">
        <v>2</v>
      </c>
      <c r="C6" s="5"/>
      <c r="D6" s="4"/>
      <c r="E6" s="5"/>
      <c r="F6" s="5" t="str">
        <f>IF(OR(C6="",D6="",E6=""),"",IF(D6="Post Graduate",ROUND(E6*7/3,0),IF(D6="Under Graduate",ROUND(ROUND(E6*7/3,0)/2,1),"")))</f>
        <v/>
      </c>
      <c r="G6" s="14" t="str">
        <f>IF(F6="","",ROUND(F6/10,2))</f>
        <v/>
      </c>
      <c r="H6" s="5" t="str">
        <f t="shared" si="0"/>
        <v>2025-26</v>
      </c>
      <c r="I6" s="2"/>
    </row>
    <row r="7" spans="1:11" ht="12.75" x14ac:dyDescent="0.2">
      <c r="A7" s="2"/>
      <c r="B7" s="5">
        <v>3</v>
      </c>
      <c r="C7" s="5"/>
      <c r="D7" s="4"/>
      <c r="E7" s="5"/>
      <c r="F7" s="5" t="str">
        <f>IF(OR(C7="",D7="",E7=""),"",IF(D7="Post Graduate",ROUND(E7*7/3,0),IF(D7="Under Graduate",ROUND(ROUND(E7*7/3,0)/2,1),"")))</f>
        <v/>
      </c>
      <c r="G7" s="14" t="str">
        <f>IF(F7="","",ROUND(F7/10,2))</f>
        <v/>
      </c>
      <c r="H7" s="5" t="str">
        <f t="shared" si="0"/>
        <v>2025-26</v>
      </c>
      <c r="I7" s="2"/>
    </row>
    <row r="8" spans="1:11" ht="12.75" x14ac:dyDescent="0.2">
      <c r="A8" s="2"/>
      <c r="B8" s="5">
        <v>4</v>
      </c>
      <c r="C8" s="5"/>
      <c r="D8" s="4"/>
      <c r="E8" s="5"/>
      <c r="F8" s="5" t="str">
        <f>IF(OR(C8="",D8="",E8=""),"",IF(D8="Post Graduate",ROUND(E8*7/3,0),IF(D8="Under Graduate",ROUND(ROUND(E8*7/3,0)/2,1),"")))</f>
        <v/>
      </c>
      <c r="G8" s="14" t="str">
        <f>IF(F8="","",ROUND(F8/10,2))</f>
        <v/>
      </c>
      <c r="H8" s="5" t="str">
        <f t="shared" si="0"/>
        <v>2025-26</v>
      </c>
      <c r="I8" s="2"/>
    </row>
    <row r="9" spans="1:11" ht="12.75" x14ac:dyDescent="0.2">
      <c r="A9" s="2"/>
      <c r="B9" s="5">
        <v>5</v>
      </c>
      <c r="C9" s="5"/>
      <c r="D9" s="4"/>
      <c r="E9" s="5"/>
      <c r="F9" s="5" t="str">
        <f>IF(OR(C9="",D9="",E9=""),"",IF(D9="Post Graduate",ROUND(E9*7/3,0),IF(D9="Under Graduate",ROUND(ROUND(E9*7/3,0)/2,1),"")))</f>
        <v/>
      </c>
      <c r="G9" s="14" t="str">
        <f>IF(F9="","",ROUND(F9/10,2))</f>
        <v/>
      </c>
      <c r="H9" s="5" t="str">
        <f t="shared" si="0"/>
        <v>2025-26</v>
      </c>
      <c r="I9" s="2"/>
    </row>
    <row r="10" spans="1:11" ht="12.75" x14ac:dyDescent="0.2">
      <c r="A10" s="1"/>
      <c r="B10" s="15"/>
      <c r="D10" s="16" t="s">
        <v>154</v>
      </c>
      <c r="E10" s="17">
        <f>SUM(E5:E9)</f>
        <v>0</v>
      </c>
      <c r="F10" s="17">
        <f>SUM(F5:F9)</f>
        <v>0</v>
      </c>
      <c r="G10" s="18">
        <f>SUM(G5:G9)</f>
        <v>0</v>
      </c>
      <c r="H10" s="19" t="s">
        <v>155</v>
      </c>
    </row>
    <row r="11" spans="1:11" ht="12.75" x14ac:dyDescent="0.2">
      <c r="A11" s="1"/>
      <c r="B11" s="15"/>
      <c r="C11" s="15"/>
      <c r="D11" s="20" t="s">
        <v>10</v>
      </c>
      <c r="E11" s="40">
        <f>G10</f>
        <v>0</v>
      </c>
      <c r="F11" s="41"/>
      <c r="G11" s="42"/>
      <c r="H11" s="21">
        <f>MIN(E11,K4)</f>
        <v>0</v>
      </c>
    </row>
    <row r="12" spans="1:11" ht="12.75" x14ac:dyDescent="0.2">
      <c r="A12" s="1"/>
      <c r="B12" s="15"/>
      <c r="C12" s="15"/>
      <c r="D12" s="15"/>
      <c r="E12" s="15"/>
      <c r="F12" s="15"/>
      <c r="G12" s="15"/>
    </row>
    <row r="13" spans="1:11" ht="12.75" x14ac:dyDescent="0.2">
      <c r="A13" s="1" t="s">
        <v>156</v>
      </c>
      <c r="B13" s="43" t="s">
        <v>157</v>
      </c>
      <c r="C13" s="37"/>
      <c r="D13" s="37"/>
      <c r="E13" s="37"/>
      <c r="F13" s="37"/>
      <c r="G13" s="37"/>
    </row>
    <row r="15" spans="1:11" ht="12.75" x14ac:dyDescent="0.2">
      <c r="B15" s="12" t="s">
        <v>146</v>
      </c>
      <c r="C15" s="12" t="s">
        <v>147</v>
      </c>
      <c r="D15" s="12" t="s">
        <v>199</v>
      </c>
      <c r="E15" s="12" t="s">
        <v>200</v>
      </c>
      <c r="F15" s="12" t="s">
        <v>46</v>
      </c>
      <c r="G15" s="12" t="s">
        <v>151</v>
      </c>
      <c r="J15" s="13" t="s">
        <v>152</v>
      </c>
      <c r="K15" s="5">
        <f>20</f>
        <v>20</v>
      </c>
    </row>
    <row r="16" spans="1:11" ht="12.75" x14ac:dyDescent="0.2">
      <c r="B16" s="44" t="s">
        <v>158</v>
      </c>
      <c r="C16" s="42"/>
      <c r="D16" s="22" t="s">
        <v>159</v>
      </c>
      <c r="E16" s="5">
        <f>COUNTA(C5:C9)*10</f>
        <v>0</v>
      </c>
      <c r="F16" s="5">
        <f>ROUND(E16/10,2)</f>
        <v>0</v>
      </c>
      <c r="G16" s="5" t="str">
        <f t="shared" ref="G16:G29" si="1">"2025-26"</f>
        <v>2025-26</v>
      </c>
    </row>
    <row r="17" spans="1:7" ht="12.75" x14ac:dyDescent="0.2">
      <c r="B17" s="44" t="s">
        <v>160</v>
      </c>
      <c r="C17" s="42"/>
      <c r="D17" s="22" t="s">
        <v>161</v>
      </c>
      <c r="E17" s="5">
        <f>COUNTA(C5:C9)*20</f>
        <v>0</v>
      </c>
      <c r="F17" s="5">
        <f>ROUND(E17/10,2)</f>
        <v>0</v>
      </c>
      <c r="G17" s="5" t="str">
        <f t="shared" si="1"/>
        <v>2025-26</v>
      </c>
    </row>
    <row r="18" spans="1:7" ht="12.75" x14ac:dyDescent="0.2">
      <c r="B18" s="5">
        <v>1</v>
      </c>
      <c r="C18" s="5"/>
      <c r="D18" s="4"/>
      <c r="E18" s="5"/>
      <c r="F18" s="5" t="str">
        <f t="shared" ref="F18:F29" si="2">IF(OR(D18="",E18=""),"",ROUND(E18/10,2))</f>
        <v/>
      </c>
      <c r="G18" s="5" t="str">
        <f t="shared" si="1"/>
        <v>2025-26</v>
      </c>
    </row>
    <row r="19" spans="1:7" ht="12.75" x14ac:dyDescent="0.2">
      <c r="B19" s="5">
        <v>2</v>
      </c>
      <c r="C19" s="5"/>
      <c r="D19" s="4"/>
      <c r="E19" s="5"/>
      <c r="F19" s="5" t="str">
        <f t="shared" si="2"/>
        <v/>
      </c>
      <c r="G19" s="5" t="str">
        <f t="shared" si="1"/>
        <v>2025-26</v>
      </c>
    </row>
    <row r="20" spans="1:7" ht="12.75" x14ac:dyDescent="0.2">
      <c r="A20" s="1"/>
      <c r="B20" s="5">
        <v>3</v>
      </c>
      <c r="C20" s="5"/>
      <c r="D20" s="4"/>
      <c r="E20" s="5"/>
      <c r="F20" s="5" t="str">
        <f t="shared" si="2"/>
        <v/>
      </c>
      <c r="G20" s="5" t="str">
        <f t="shared" si="1"/>
        <v>2025-26</v>
      </c>
    </row>
    <row r="21" spans="1:7" ht="12.75" x14ac:dyDescent="0.2">
      <c r="A21" s="1"/>
      <c r="B21" s="5">
        <v>4</v>
      </c>
      <c r="C21" s="5"/>
      <c r="D21" s="4"/>
      <c r="E21" s="5"/>
      <c r="F21" s="5" t="str">
        <f t="shared" si="2"/>
        <v/>
      </c>
      <c r="G21" s="5" t="str">
        <f t="shared" si="1"/>
        <v>2025-26</v>
      </c>
    </row>
    <row r="22" spans="1:7" ht="12.75" x14ac:dyDescent="0.2">
      <c r="A22" s="1"/>
      <c r="B22" s="5">
        <v>5</v>
      </c>
      <c r="C22" s="5"/>
      <c r="D22" s="4"/>
      <c r="E22" s="5"/>
      <c r="F22" s="5" t="str">
        <f t="shared" si="2"/>
        <v/>
      </c>
      <c r="G22" s="5" t="str">
        <f t="shared" si="1"/>
        <v>2025-26</v>
      </c>
    </row>
    <row r="23" spans="1:7" ht="12.75" x14ac:dyDescent="0.2">
      <c r="A23" s="1"/>
      <c r="B23" s="5">
        <v>6</v>
      </c>
      <c r="C23" s="5"/>
      <c r="D23" s="4"/>
      <c r="E23" s="5"/>
      <c r="F23" s="5" t="str">
        <f t="shared" si="2"/>
        <v/>
      </c>
      <c r="G23" s="5" t="str">
        <f t="shared" si="1"/>
        <v>2025-26</v>
      </c>
    </row>
    <row r="24" spans="1:7" ht="12.75" x14ac:dyDescent="0.2">
      <c r="A24" s="1"/>
      <c r="B24" s="5">
        <v>7</v>
      </c>
      <c r="C24" s="5"/>
      <c r="D24" s="4"/>
      <c r="E24" s="5"/>
      <c r="F24" s="5" t="str">
        <f t="shared" si="2"/>
        <v/>
      </c>
      <c r="G24" s="5" t="str">
        <f t="shared" si="1"/>
        <v>2025-26</v>
      </c>
    </row>
    <row r="25" spans="1:7" ht="12.75" x14ac:dyDescent="0.2">
      <c r="A25" s="1"/>
      <c r="B25" s="5">
        <v>8</v>
      </c>
      <c r="C25" s="5"/>
      <c r="D25" s="4"/>
      <c r="E25" s="5"/>
      <c r="F25" s="5" t="str">
        <f t="shared" si="2"/>
        <v/>
      </c>
      <c r="G25" s="5" t="str">
        <f t="shared" si="1"/>
        <v>2025-26</v>
      </c>
    </row>
    <row r="26" spans="1:7" ht="12.75" x14ac:dyDescent="0.2">
      <c r="A26" s="1"/>
      <c r="B26" s="5">
        <v>9</v>
      </c>
      <c r="C26" s="5"/>
      <c r="D26" s="4"/>
      <c r="E26" s="5"/>
      <c r="F26" s="5" t="str">
        <f t="shared" si="2"/>
        <v/>
      </c>
      <c r="G26" s="5" t="str">
        <f t="shared" si="1"/>
        <v>2025-26</v>
      </c>
    </row>
    <row r="27" spans="1:7" ht="12.75" x14ac:dyDescent="0.2">
      <c r="A27" s="1"/>
      <c r="B27" s="5">
        <v>10</v>
      </c>
      <c r="C27" s="5"/>
      <c r="D27" s="4"/>
      <c r="E27" s="5"/>
      <c r="F27" s="5" t="str">
        <f t="shared" si="2"/>
        <v/>
      </c>
      <c r="G27" s="5" t="str">
        <f t="shared" si="1"/>
        <v>2025-26</v>
      </c>
    </row>
    <row r="28" spans="1:7" ht="12.75" x14ac:dyDescent="0.2">
      <c r="A28" s="1"/>
      <c r="B28" s="5">
        <v>11</v>
      </c>
      <c r="C28" s="5"/>
      <c r="D28" s="4"/>
      <c r="E28" s="5"/>
      <c r="F28" s="5" t="str">
        <f t="shared" si="2"/>
        <v/>
      </c>
      <c r="G28" s="5" t="str">
        <f t="shared" si="1"/>
        <v>2025-26</v>
      </c>
    </row>
    <row r="29" spans="1:7" ht="12.75" x14ac:dyDescent="0.2">
      <c r="A29" s="1"/>
      <c r="B29" s="5">
        <v>12</v>
      </c>
      <c r="C29" s="5"/>
      <c r="D29" s="4"/>
      <c r="E29" s="5"/>
      <c r="F29" s="5" t="str">
        <f t="shared" si="2"/>
        <v/>
      </c>
      <c r="G29" s="5" t="str">
        <f t="shared" si="1"/>
        <v>2025-26</v>
      </c>
    </row>
    <row r="30" spans="1:7" ht="12.75" x14ac:dyDescent="0.2">
      <c r="A30" s="1"/>
      <c r="B30" s="1"/>
      <c r="C30" s="1"/>
      <c r="D30" s="16" t="s">
        <v>163</v>
      </c>
      <c r="E30" s="17">
        <f>SUM(E16:E29)</f>
        <v>0</v>
      </c>
      <c r="F30" s="5">
        <f>SUM(F16:F29)</f>
        <v>0</v>
      </c>
      <c r="G30" s="23" t="s">
        <v>164</v>
      </c>
    </row>
    <row r="31" spans="1:7" ht="12.75" x14ac:dyDescent="0.2">
      <c r="A31" s="1"/>
      <c r="B31" s="1"/>
      <c r="C31" s="1"/>
      <c r="D31" s="16" t="s">
        <v>11</v>
      </c>
      <c r="E31" s="45">
        <f>F30</f>
        <v>0</v>
      </c>
      <c r="F31" s="42"/>
      <c r="G31" s="19">
        <f>MIN(E31,K15)</f>
        <v>0</v>
      </c>
    </row>
    <row r="32" spans="1:7" ht="12.75" x14ac:dyDescent="0.2">
      <c r="A32" s="1"/>
      <c r="B32" s="1"/>
      <c r="C32" s="1"/>
      <c r="D32" s="1"/>
      <c r="E32" s="1"/>
      <c r="F32" s="1"/>
      <c r="G32" s="1"/>
    </row>
    <row r="33" spans="1:11" ht="12.75" x14ac:dyDescent="0.2">
      <c r="A33" s="1" t="s">
        <v>165</v>
      </c>
      <c r="B33" s="39" t="s">
        <v>201</v>
      </c>
      <c r="C33" s="37"/>
      <c r="D33" s="37"/>
      <c r="E33" s="37"/>
      <c r="F33" s="37"/>
      <c r="G33" s="37"/>
    </row>
    <row r="35" spans="1:11" ht="12.75" x14ac:dyDescent="0.2">
      <c r="B35" s="12" t="s">
        <v>146</v>
      </c>
      <c r="C35" s="12" t="s">
        <v>197</v>
      </c>
      <c r="D35" s="12" t="s">
        <v>148</v>
      </c>
      <c r="E35" s="12" t="s">
        <v>149</v>
      </c>
      <c r="F35" s="12" t="s">
        <v>202</v>
      </c>
      <c r="G35" s="12" t="s">
        <v>151</v>
      </c>
      <c r="J35" s="13" t="s">
        <v>152</v>
      </c>
      <c r="K35" s="5">
        <f>15</f>
        <v>15</v>
      </c>
    </row>
    <row r="36" spans="1:11" ht="12.75" x14ac:dyDescent="0.2">
      <c r="B36" s="5">
        <v>1</v>
      </c>
      <c r="C36" s="5" t="str">
        <f t="shared" ref="C36:E40" si="3">IF(C5="","",C5)</f>
        <v/>
      </c>
      <c r="D36" s="24" t="str">
        <f t="shared" si="3"/>
        <v/>
      </c>
      <c r="E36" s="25" t="str">
        <f t="shared" si="3"/>
        <v/>
      </c>
      <c r="F36" s="14" t="str">
        <f>IF(E36="","",ROUND(E36/3,2))</f>
        <v/>
      </c>
      <c r="G36" s="5" t="str">
        <f t="shared" ref="G36:G40" si="4">"2025-26"</f>
        <v>2025-26</v>
      </c>
    </row>
    <row r="37" spans="1:11" ht="12.75" x14ac:dyDescent="0.2">
      <c r="B37" s="5">
        <v>2</v>
      </c>
      <c r="C37" s="5" t="str">
        <f t="shared" si="3"/>
        <v/>
      </c>
      <c r="D37" s="24" t="str">
        <f t="shared" si="3"/>
        <v/>
      </c>
      <c r="E37" s="25" t="str">
        <f t="shared" si="3"/>
        <v/>
      </c>
      <c r="F37" s="14" t="str">
        <f>IF(E37="","",ROUND(E37/3,2))</f>
        <v/>
      </c>
      <c r="G37" s="5" t="str">
        <f t="shared" si="4"/>
        <v>2025-26</v>
      </c>
    </row>
    <row r="38" spans="1:11" ht="12.75" x14ac:dyDescent="0.2">
      <c r="B38" s="5">
        <v>3</v>
      </c>
      <c r="C38" s="5" t="str">
        <f t="shared" si="3"/>
        <v/>
      </c>
      <c r="D38" s="24" t="str">
        <f t="shared" si="3"/>
        <v/>
      </c>
      <c r="E38" s="25" t="str">
        <f t="shared" si="3"/>
        <v/>
      </c>
      <c r="F38" s="14" t="str">
        <f>IF(E38="","",ROUND(E38/3,2))</f>
        <v/>
      </c>
      <c r="G38" s="5" t="str">
        <f t="shared" si="4"/>
        <v>2025-26</v>
      </c>
    </row>
    <row r="39" spans="1:11" ht="12.75" x14ac:dyDescent="0.2">
      <c r="B39" s="5">
        <v>4</v>
      </c>
      <c r="C39" s="5" t="str">
        <f t="shared" si="3"/>
        <v/>
      </c>
      <c r="D39" s="24" t="str">
        <f t="shared" si="3"/>
        <v/>
      </c>
      <c r="E39" s="25" t="str">
        <f t="shared" si="3"/>
        <v/>
      </c>
      <c r="F39" s="14" t="str">
        <f>IF(E39="","",ROUND(E39/3,2))</f>
        <v/>
      </c>
      <c r="G39" s="5" t="str">
        <f t="shared" si="4"/>
        <v>2025-26</v>
      </c>
    </row>
    <row r="40" spans="1:11" ht="12.75" x14ac:dyDescent="0.2">
      <c r="B40" s="5">
        <v>5</v>
      </c>
      <c r="C40" s="5" t="str">
        <f t="shared" si="3"/>
        <v/>
      </c>
      <c r="D40" s="24" t="str">
        <f t="shared" si="3"/>
        <v/>
      </c>
      <c r="E40" s="25" t="str">
        <f t="shared" si="3"/>
        <v/>
      </c>
      <c r="F40" s="14" t="str">
        <f>IF(E40="","",ROUND(E40/3,2))</f>
        <v/>
      </c>
      <c r="G40" s="5" t="str">
        <f t="shared" si="4"/>
        <v>2025-26</v>
      </c>
      <c r="J40" s="26"/>
    </row>
    <row r="41" spans="1:11" ht="12.75" x14ac:dyDescent="0.2">
      <c r="B41" s="15"/>
      <c r="D41" s="1"/>
      <c r="E41" s="17" t="s">
        <v>154</v>
      </c>
      <c r="F41" s="27">
        <f>SUM(F36:F40)</f>
        <v>0</v>
      </c>
      <c r="G41" s="19" t="s">
        <v>166</v>
      </c>
    </row>
    <row r="42" spans="1:11" ht="12.75" x14ac:dyDescent="0.2">
      <c r="B42" s="15"/>
      <c r="C42" s="15"/>
      <c r="D42" s="15"/>
      <c r="E42" s="28" t="s">
        <v>21</v>
      </c>
      <c r="F42" s="29">
        <f>ROUND(F41/10,2)</f>
        <v>0</v>
      </c>
      <c r="G42" s="21">
        <f>MIN(F42,K35)</f>
        <v>0</v>
      </c>
    </row>
    <row r="44" spans="1:11" ht="12.75" x14ac:dyDescent="0.2">
      <c r="B44" s="4" t="s">
        <v>21</v>
      </c>
      <c r="C44" s="4" t="s">
        <v>22</v>
      </c>
      <c r="D44" s="4" t="s">
        <v>23</v>
      </c>
      <c r="E44" s="30" t="s">
        <v>167</v>
      </c>
    </row>
    <row r="45" spans="1:11" ht="12.75" x14ac:dyDescent="0.2">
      <c r="B45" s="14">
        <f>H11</f>
        <v>0</v>
      </c>
      <c r="C45" s="5">
        <f>G31</f>
        <v>0</v>
      </c>
      <c r="D45" s="14">
        <f>G42</f>
        <v>0</v>
      </c>
      <c r="E45" s="14">
        <f>SUM(B45:D45)</f>
        <v>0</v>
      </c>
    </row>
    <row r="47" spans="1:11" ht="20.25" x14ac:dyDescent="0.3">
      <c r="A47" s="38" t="s">
        <v>14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2.75" x14ac:dyDescent="0.2">
      <c r="A48" s="1" t="s">
        <v>144</v>
      </c>
      <c r="B48" s="1" t="s">
        <v>168</v>
      </c>
    </row>
    <row r="49" spans="1:11" ht="12.75" x14ac:dyDescent="0.2">
      <c r="A49" s="2"/>
      <c r="B49" s="2"/>
    </row>
    <row r="50" spans="1:11" ht="12.75" x14ac:dyDescent="0.2">
      <c r="A50" s="2"/>
      <c r="B50" s="12" t="s">
        <v>146</v>
      </c>
      <c r="C50" s="12" t="s">
        <v>169</v>
      </c>
      <c r="D50" s="12" t="s">
        <v>170</v>
      </c>
      <c r="E50" s="12" t="s">
        <v>46</v>
      </c>
      <c r="F50" s="12" t="s">
        <v>171</v>
      </c>
      <c r="G50" s="12" t="s">
        <v>151</v>
      </c>
      <c r="J50" s="13" t="s">
        <v>152</v>
      </c>
      <c r="K50" s="5">
        <v>15</v>
      </c>
    </row>
    <row r="51" spans="1:11" ht="12.75" x14ac:dyDescent="0.2">
      <c r="A51" s="2"/>
      <c r="B51" s="5">
        <v>1</v>
      </c>
      <c r="C51" s="5"/>
      <c r="D51" s="4"/>
      <c r="E51" s="5" t="str">
        <f>IFERROR(VLOOKUP(D51,Cat2A[],2,FALSE),"")</f>
        <v/>
      </c>
      <c r="F51" s="5" t="str">
        <f>IF(E51="","",E51/10)</f>
        <v/>
      </c>
      <c r="G51" s="5" t="str">
        <f t="shared" ref="G51:G71" si="5">"2025-26"</f>
        <v>2025-26</v>
      </c>
    </row>
    <row r="52" spans="1:11" ht="12.75" x14ac:dyDescent="0.2">
      <c r="A52" s="2"/>
      <c r="B52" s="5">
        <v>2</v>
      </c>
      <c r="C52" s="5"/>
      <c r="D52" s="4"/>
      <c r="E52" s="5" t="str">
        <f>IFERROR(VLOOKUP(D52,Cat2A[],2,FALSE),"")</f>
        <v/>
      </c>
      <c r="F52" s="5" t="str">
        <f>IF(E52="","",E52/10)</f>
        <v/>
      </c>
      <c r="G52" s="5" t="str">
        <f t="shared" si="5"/>
        <v>2025-26</v>
      </c>
    </row>
    <row r="53" spans="1:11" ht="12.75" x14ac:dyDescent="0.2">
      <c r="A53" s="2"/>
      <c r="B53" s="5">
        <v>3</v>
      </c>
      <c r="C53" s="5"/>
      <c r="D53" s="4"/>
      <c r="E53" s="5" t="str">
        <f>IFERROR(VLOOKUP(D53,Cat2A[],2,FALSE),"")</f>
        <v/>
      </c>
      <c r="F53" s="5" t="str">
        <f>IF(E53="","",E53/10)</f>
        <v/>
      </c>
      <c r="G53" s="5" t="str">
        <f t="shared" si="5"/>
        <v>2025-26</v>
      </c>
    </row>
    <row r="54" spans="1:11" ht="12.75" x14ac:dyDescent="0.2">
      <c r="A54" s="2"/>
      <c r="B54" s="5">
        <v>4</v>
      </c>
      <c r="C54" s="5"/>
      <c r="D54" s="4"/>
      <c r="E54" s="5" t="str">
        <f>IFERROR(VLOOKUP(D54,Cat2A[],2,FALSE),"")</f>
        <v/>
      </c>
      <c r="F54" s="5" t="str">
        <f>IF(E54="","",E54/10)</f>
        <v/>
      </c>
      <c r="G54" s="5" t="str">
        <f t="shared" si="5"/>
        <v>2025-26</v>
      </c>
    </row>
    <row r="55" spans="1:11" ht="12.75" x14ac:dyDescent="0.2">
      <c r="A55" s="2"/>
      <c r="B55" s="5">
        <v>5</v>
      </c>
      <c r="C55" s="5"/>
      <c r="D55" s="4"/>
      <c r="E55" s="5" t="str">
        <f>IFERROR(VLOOKUP(D55,Cat2A[],2,FALSE),"")</f>
        <v/>
      </c>
      <c r="F55" s="5" t="str">
        <f>IF(E55="","",E55/10)</f>
        <v/>
      </c>
      <c r="G55" s="5" t="str">
        <f t="shared" si="5"/>
        <v>2025-26</v>
      </c>
    </row>
    <row r="56" spans="1:11" ht="12.75" x14ac:dyDescent="0.2">
      <c r="A56" s="2"/>
      <c r="B56" s="5">
        <v>6</v>
      </c>
      <c r="C56" s="5"/>
      <c r="D56" s="4"/>
      <c r="E56" s="5" t="str">
        <f>IFERROR(VLOOKUP(D56,Cat2A[],2,FALSE),"")</f>
        <v/>
      </c>
      <c r="F56" s="5" t="str">
        <f>IF(E56="","",E56/10)</f>
        <v/>
      </c>
      <c r="G56" s="5" t="str">
        <f t="shared" si="5"/>
        <v>2025-26</v>
      </c>
    </row>
    <row r="57" spans="1:11" ht="12.75" x14ac:dyDescent="0.2">
      <c r="A57" s="2"/>
      <c r="B57" s="5">
        <v>7</v>
      </c>
      <c r="C57" s="5"/>
      <c r="D57" s="4"/>
      <c r="E57" s="5" t="str">
        <f>IFERROR(VLOOKUP(D57,Cat2A[],2,FALSE),"")</f>
        <v/>
      </c>
      <c r="F57" s="5" t="str">
        <f>IF(E57="","",E57/10)</f>
        <v/>
      </c>
      <c r="G57" s="5" t="str">
        <f t="shared" si="5"/>
        <v>2025-26</v>
      </c>
    </row>
    <row r="58" spans="1:11" ht="12.75" x14ac:dyDescent="0.2">
      <c r="A58" s="2"/>
      <c r="B58" s="5">
        <v>8</v>
      </c>
      <c r="C58" s="5"/>
      <c r="D58" s="4"/>
      <c r="E58" s="5" t="str">
        <f>IFERROR(VLOOKUP(D58,Cat2A[],2,FALSE),"")</f>
        <v/>
      </c>
      <c r="F58" s="5" t="str">
        <f>IF(E58="","",E58/10)</f>
        <v/>
      </c>
      <c r="G58" s="5" t="str">
        <f t="shared" si="5"/>
        <v>2025-26</v>
      </c>
    </row>
    <row r="59" spans="1:11" ht="12.75" x14ac:dyDescent="0.2">
      <c r="A59" s="2"/>
      <c r="B59" s="5">
        <v>9</v>
      </c>
      <c r="C59" s="5"/>
      <c r="D59" s="4"/>
      <c r="E59" s="5" t="str">
        <f>IFERROR(VLOOKUP(D59,Cat2A[],2,FALSE),"")</f>
        <v/>
      </c>
      <c r="F59" s="5" t="str">
        <f>IF(E59="","",E59/10)</f>
        <v/>
      </c>
      <c r="G59" s="5" t="str">
        <f t="shared" si="5"/>
        <v>2025-26</v>
      </c>
    </row>
    <row r="60" spans="1:11" ht="12.75" x14ac:dyDescent="0.2">
      <c r="A60" s="2"/>
      <c r="B60" s="5">
        <v>10</v>
      </c>
      <c r="C60" s="5"/>
      <c r="D60" s="4"/>
      <c r="E60" s="5" t="str">
        <f>IFERROR(VLOOKUP(D60,Cat2A[],2,FALSE),"")</f>
        <v/>
      </c>
      <c r="F60" s="5" t="str">
        <f>IF(E60="","",E60/10)</f>
        <v/>
      </c>
      <c r="G60" s="5" t="str">
        <f t="shared" si="5"/>
        <v>2025-26</v>
      </c>
    </row>
    <row r="61" spans="1:11" ht="12.75" x14ac:dyDescent="0.2">
      <c r="A61" s="2"/>
      <c r="B61" s="5">
        <v>11</v>
      </c>
      <c r="C61" s="5"/>
      <c r="D61" s="4"/>
      <c r="E61" s="5" t="str">
        <f>IFERROR(VLOOKUP(D61,Cat2A[],2,FALSE),"")</f>
        <v/>
      </c>
      <c r="F61" s="5" t="str">
        <f>IF(E61="","",E61/10)</f>
        <v/>
      </c>
      <c r="G61" s="5" t="str">
        <f t="shared" si="5"/>
        <v>2025-26</v>
      </c>
    </row>
    <row r="62" spans="1:11" ht="12.75" x14ac:dyDescent="0.2">
      <c r="A62" s="2"/>
      <c r="B62" s="5">
        <v>12</v>
      </c>
      <c r="C62" s="5"/>
      <c r="D62" s="4"/>
      <c r="E62" s="5" t="str">
        <f>IFERROR(VLOOKUP(D62,Cat2A[],2,FALSE),"")</f>
        <v/>
      </c>
      <c r="F62" s="5" t="str">
        <f>IF(E62="","",E62/10)</f>
        <v/>
      </c>
      <c r="G62" s="5" t="str">
        <f t="shared" si="5"/>
        <v>2025-26</v>
      </c>
    </row>
    <row r="63" spans="1:11" ht="12.75" x14ac:dyDescent="0.2">
      <c r="A63" s="2"/>
      <c r="B63" s="5">
        <v>13</v>
      </c>
      <c r="C63" s="5"/>
      <c r="D63" s="4"/>
      <c r="E63" s="5" t="str">
        <f>IFERROR(VLOOKUP(D63,Cat2A[],2,FALSE),"")</f>
        <v/>
      </c>
      <c r="F63" s="5" t="str">
        <f>IF(E63="","",E63/10)</f>
        <v/>
      </c>
      <c r="G63" s="5" t="str">
        <f t="shared" si="5"/>
        <v>2025-26</v>
      </c>
    </row>
    <row r="64" spans="1:11" ht="12.75" x14ac:dyDescent="0.2">
      <c r="A64" s="2"/>
      <c r="B64" s="5">
        <v>14</v>
      </c>
      <c r="C64" s="5"/>
      <c r="D64" s="4"/>
      <c r="E64" s="5" t="str">
        <f>IFERROR(VLOOKUP(D64,Cat2A[],2,FALSE),"")</f>
        <v/>
      </c>
      <c r="F64" s="5" t="str">
        <f>IF(E64="","",E64/10)</f>
        <v/>
      </c>
      <c r="G64" s="5" t="str">
        <f t="shared" si="5"/>
        <v>2025-26</v>
      </c>
    </row>
    <row r="65" spans="1:11" ht="12.75" x14ac:dyDescent="0.2">
      <c r="A65" s="2"/>
      <c r="B65" s="5">
        <v>15</v>
      </c>
      <c r="C65" s="5"/>
      <c r="D65" s="4"/>
      <c r="E65" s="5" t="str">
        <f>IFERROR(VLOOKUP(D65,Cat2A[],2,FALSE),"")</f>
        <v/>
      </c>
      <c r="F65" s="5" t="str">
        <f>IF(E65="","",E65/10)</f>
        <v/>
      </c>
      <c r="G65" s="5" t="str">
        <f t="shared" si="5"/>
        <v>2025-26</v>
      </c>
    </row>
    <row r="66" spans="1:11" ht="12.75" x14ac:dyDescent="0.2">
      <c r="A66" s="2"/>
      <c r="B66" s="5">
        <v>16</v>
      </c>
      <c r="C66" s="5"/>
      <c r="D66" s="4"/>
      <c r="E66" s="5" t="str">
        <f>IFERROR(VLOOKUP(D66,Cat2A[],2,FALSE),"")</f>
        <v/>
      </c>
      <c r="F66" s="5" t="str">
        <f>IF(E66="","",E66/10)</f>
        <v/>
      </c>
      <c r="G66" s="5" t="str">
        <f t="shared" si="5"/>
        <v>2025-26</v>
      </c>
    </row>
    <row r="67" spans="1:11" ht="12.75" x14ac:dyDescent="0.2">
      <c r="A67" s="2"/>
      <c r="B67" s="5">
        <v>17</v>
      </c>
      <c r="C67" s="5"/>
      <c r="D67" s="4"/>
      <c r="E67" s="5" t="str">
        <f>IFERROR(VLOOKUP(D67,Cat2A[],2,FALSE),"")</f>
        <v/>
      </c>
      <c r="F67" s="5" t="str">
        <f>IF(E67="","",E67/10)</f>
        <v/>
      </c>
      <c r="G67" s="5" t="str">
        <f t="shared" si="5"/>
        <v>2025-26</v>
      </c>
    </row>
    <row r="68" spans="1:11" ht="12.75" x14ac:dyDescent="0.2">
      <c r="A68" s="2"/>
      <c r="B68" s="5">
        <v>18</v>
      </c>
      <c r="C68" s="5"/>
      <c r="D68" s="4"/>
      <c r="E68" s="5" t="str">
        <f>IFERROR(VLOOKUP(D68,Cat2A[],2,FALSE),"")</f>
        <v/>
      </c>
      <c r="F68" s="5" t="str">
        <f>IF(E68="","",E68/10)</f>
        <v/>
      </c>
      <c r="G68" s="5" t="str">
        <f t="shared" si="5"/>
        <v>2025-26</v>
      </c>
    </row>
    <row r="69" spans="1:11" ht="12.75" x14ac:dyDescent="0.2">
      <c r="A69" s="2"/>
      <c r="B69" s="5">
        <v>19</v>
      </c>
      <c r="C69" s="5"/>
      <c r="D69" s="4"/>
      <c r="E69" s="5" t="str">
        <f>IFERROR(VLOOKUP(D69,Cat2A[],2,FALSE),"")</f>
        <v/>
      </c>
      <c r="F69" s="5" t="str">
        <f>IF(E69="","",E69/10)</f>
        <v/>
      </c>
      <c r="G69" s="5" t="str">
        <f t="shared" si="5"/>
        <v>2025-26</v>
      </c>
    </row>
    <row r="70" spans="1:11" ht="12.75" x14ac:dyDescent="0.2">
      <c r="A70" s="2"/>
      <c r="B70" s="5">
        <v>20</v>
      </c>
      <c r="C70" s="5"/>
      <c r="D70" s="4"/>
      <c r="E70" s="5" t="str">
        <f>IFERROR(VLOOKUP(D70,Cat2A[],2,FALSE),"")</f>
        <v/>
      </c>
      <c r="F70" s="5" t="str">
        <f>IF(E70="","",E70/10)</f>
        <v/>
      </c>
      <c r="G70" s="5" t="str">
        <f t="shared" si="5"/>
        <v>2025-26</v>
      </c>
    </row>
    <row r="71" spans="1:11" ht="12.75" x14ac:dyDescent="0.2">
      <c r="A71" s="2"/>
      <c r="B71" s="5">
        <v>21</v>
      </c>
      <c r="C71" s="5"/>
      <c r="D71" s="4"/>
      <c r="E71" s="5" t="str">
        <f>IFERROR(VLOOKUP(D71,Cat2A[],2,FALSE),"")</f>
        <v/>
      </c>
      <c r="F71" s="5" t="str">
        <f>IF(E71="","",E71/10)</f>
        <v/>
      </c>
      <c r="G71" s="5" t="str">
        <f t="shared" si="5"/>
        <v>2025-26</v>
      </c>
    </row>
    <row r="72" spans="1:11" ht="12.75" x14ac:dyDescent="0.2">
      <c r="A72" s="2"/>
      <c r="B72" s="2"/>
      <c r="D72" s="13" t="s">
        <v>163</v>
      </c>
      <c r="E72" s="4">
        <f t="shared" ref="E72:F72" si="6">SUM(E51:E71)</f>
        <v>0</v>
      </c>
      <c r="F72" s="4">
        <f t="shared" si="6"/>
        <v>0</v>
      </c>
      <c r="G72" s="31" t="s">
        <v>172</v>
      </c>
    </row>
    <row r="73" spans="1:11" ht="12.75" x14ac:dyDescent="0.2">
      <c r="A73" s="2"/>
      <c r="B73" s="2"/>
      <c r="D73" s="13" t="s">
        <v>15</v>
      </c>
      <c r="E73" s="46">
        <f>F72</f>
        <v>0</v>
      </c>
      <c r="F73" s="42"/>
      <c r="G73" s="31">
        <f>MIN(E73,K50)</f>
        <v>0</v>
      </c>
    </row>
    <row r="74" spans="1:11" ht="12.75" x14ac:dyDescent="0.2">
      <c r="A74" s="2"/>
      <c r="B74" s="2"/>
    </row>
    <row r="75" spans="1:11" ht="12.75" x14ac:dyDescent="0.2">
      <c r="A75" s="1" t="s">
        <v>156</v>
      </c>
      <c r="B75" s="1" t="s">
        <v>173</v>
      </c>
    </row>
    <row r="76" spans="1:11" ht="12.75" x14ac:dyDescent="0.2">
      <c r="A76" s="2"/>
      <c r="B76" s="2"/>
    </row>
    <row r="77" spans="1:11" ht="12.75" x14ac:dyDescent="0.2">
      <c r="A77" s="1"/>
      <c r="B77" s="12" t="s">
        <v>146</v>
      </c>
      <c r="C77" s="12" t="s">
        <v>169</v>
      </c>
      <c r="D77" s="12" t="s">
        <v>174</v>
      </c>
      <c r="E77" s="32" t="s">
        <v>175</v>
      </c>
      <c r="F77" s="12" t="s">
        <v>46</v>
      </c>
      <c r="G77" s="12" t="s">
        <v>171</v>
      </c>
      <c r="H77" s="12" t="s">
        <v>151</v>
      </c>
      <c r="J77" s="13" t="s">
        <v>152</v>
      </c>
      <c r="K77" s="5">
        <v>15</v>
      </c>
    </row>
    <row r="78" spans="1:11" ht="12.75" x14ac:dyDescent="0.2">
      <c r="A78" s="1"/>
      <c r="B78" s="5">
        <v>1</v>
      </c>
      <c r="C78" s="5"/>
      <c r="D78" s="4"/>
      <c r="E78" s="5"/>
      <c r="F78" s="5" t="str">
        <f>IF(OR(D78="",E78=""),"",E78*IFERROR(VLOOKUP(D78,Cat2B[],2,FALSE),""))</f>
        <v/>
      </c>
      <c r="G78" s="5" t="str">
        <f>IF(F78="","",F78/10)</f>
        <v/>
      </c>
      <c r="H78" s="5" t="str">
        <f t="shared" ref="H78:H87" si="7">"2025-26"</f>
        <v>2025-26</v>
      </c>
      <c r="I78" s="2"/>
    </row>
    <row r="79" spans="1:11" ht="12.75" x14ac:dyDescent="0.2">
      <c r="A79" s="1"/>
      <c r="B79" s="5">
        <v>2</v>
      </c>
      <c r="C79" s="5"/>
      <c r="D79" s="4"/>
      <c r="E79" s="5"/>
      <c r="F79" s="5" t="str">
        <f>IF(OR(D79="",E79=""),"",E79*IFERROR(VLOOKUP(D79,Cat2B[],2,FALSE),""))</f>
        <v/>
      </c>
      <c r="G79" s="5" t="str">
        <f>IF(F79="","",F79/10)</f>
        <v/>
      </c>
      <c r="H79" s="5" t="str">
        <f t="shared" si="7"/>
        <v>2025-26</v>
      </c>
      <c r="I79" s="2"/>
    </row>
    <row r="80" spans="1:11" ht="12.75" x14ac:dyDescent="0.2">
      <c r="A80" s="1"/>
      <c r="B80" s="5">
        <v>3</v>
      </c>
      <c r="C80" s="5"/>
      <c r="D80" s="4"/>
      <c r="E80" s="5"/>
      <c r="F80" s="5" t="str">
        <f>IF(OR(D80="",E80=""),"",E80*IFERROR(VLOOKUP(D80,Cat2B[],2,FALSE),""))</f>
        <v/>
      </c>
      <c r="G80" s="5" t="str">
        <f>IF(F80="","",F80/10)</f>
        <v/>
      </c>
      <c r="H80" s="5" t="str">
        <f t="shared" si="7"/>
        <v>2025-26</v>
      </c>
      <c r="I80" s="2"/>
    </row>
    <row r="81" spans="1:11" ht="12.75" x14ac:dyDescent="0.2">
      <c r="A81" s="1"/>
      <c r="B81" s="5">
        <v>4</v>
      </c>
      <c r="C81" s="5"/>
      <c r="D81" s="4"/>
      <c r="E81" s="5"/>
      <c r="F81" s="5" t="str">
        <f>IF(OR(D81="",E81=""),"",E81*IFERROR(VLOOKUP(D81,Cat2B[],2,FALSE),""))</f>
        <v/>
      </c>
      <c r="G81" s="5" t="str">
        <f>IF(F81="","",F81/10)</f>
        <v/>
      </c>
      <c r="H81" s="5" t="str">
        <f t="shared" si="7"/>
        <v>2025-26</v>
      </c>
      <c r="I81" s="2"/>
    </row>
    <row r="82" spans="1:11" ht="12.75" x14ac:dyDescent="0.2">
      <c r="A82" s="1"/>
      <c r="B82" s="5">
        <v>5</v>
      </c>
      <c r="C82" s="5"/>
      <c r="D82" s="4"/>
      <c r="E82" s="5"/>
      <c r="F82" s="5" t="str">
        <f>IF(OR(D82="",E82=""),"",E82*IFERROR(VLOOKUP(D82,Cat2B[],2,FALSE),""))</f>
        <v/>
      </c>
      <c r="G82" s="5" t="str">
        <f>IF(F82="","",F82/10)</f>
        <v/>
      </c>
      <c r="H82" s="5" t="str">
        <f t="shared" si="7"/>
        <v>2025-26</v>
      </c>
      <c r="I82" s="2"/>
    </row>
    <row r="83" spans="1:11" ht="12.75" x14ac:dyDescent="0.2">
      <c r="A83" s="1"/>
      <c r="B83" s="5">
        <v>6</v>
      </c>
      <c r="C83" s="5"/>
      <c r="D83" s="4"/>
      <c r="E83" s="5"/>
      <c r="F83" s="5" t="str">
        <f>IF(OR(D83="",E83=""),"",E83*IFERROR(VLOOKUP(D83,Cat2B[],2,FALSE),""))</f>
        <v/>
      </c>
      <c r="G83" s="5" t="str">
        <f>IF(F83="","",F83/10)</f>
        <v/>
      </c>
      <c r="H83" s="5" t="str">
        <f t="shared" si="7"/>
        <v>2025-26</v>
      </c>
      <c r="I83" s="2"/>
    </row>
    <row r="84" spans="1:11" ht="12.75" x14ac:dyDescent="0.2">
      <c r="A84" s="1"/>
      <c r="B84" s="5">
        <v>7</v>
      </c>
      <c r="C84" s="5"/>
      <c r="D84" s="4"/>
      <c r="E84" s="5"/>
      <c r="F84" s="5" t="str">
        <f>IF(OR(D84="",E84=""),"",E84*IFERROR(VLOOKUP(D84,Cat2B[],2,FALSE),""))</f>
        <v/>
      </c>
      <c r="G84" s="5" t="str">
        <f>IF(F84="","",F84/10)</f>
        <v/>
      </c>
      <c r="H84" s="5" t="str">
        <f t="shared" si="7"/>
        <v>2025-26</v>
      </c>
      <c r="I84" s="2"/>
    </row>
    <row r="85" spans="1:11" ht="12.75" x14ac:dyDescent="0.2">
      <c r="A85" s="1"/>
      <c r="B85" s="5">
        <v>8</v>
      </c>
      <c r="C85" s="5"/>
      <c r="D85" s="4"/>
      <c r="E85" s="5"/>
      <c r="F85" s="5" t="str">
        <f>IF(OR(D85="",E85=""),"",E85*IFERROR(VLOOKUP(D85,Cat2B[],2,FALSE),""))</f>
        <v/>
      </c>
      <c r="G85" s="5" t="str">
        <f>IF(F85="","",F85/10)</f>
        <v/>
      </c>
      <c r="H85" s="5" t="str">
        <f t="shared" si="7"/>
        <v>2025-26</v>
      </c>
      <c r="I85" s="2"/>
    </row>
    <row r="86" spans="1:11" ht="12.75" x14ac:dyDescent="0.2">
      <c r="A86" s="1"/>
      <c r="B86" s="5">
        <v>9</v>
      </c>
      <c r="C86" s="5"/>
      <c r="D86" s="4"/>
      <c r="E86" s="5"/>
      <c r="F86" s="5" t="str">
        <f>IF(OR(D86="",E86=""),"",E86*IFERROR(VLOOKUP(D86,Cat2B[],2,FALSE),""))</f>
        <v/>
      </c>
      <c r="G86" s="5" t="str">
        <f>IF(F86="","",F86/10)</f>
        <v/>
      </c>
      <c r="H86" s="5" t="str">
        <f t="shared" si="7"/>
        <v>2025-26</v>
      </c>
      <c r="I86" s="2"/>
    </row>
    <row r="87" spans="1:11" ht="12.75" x14ac:dyDescent="0.2">
      <c r="A87" s="1"/>
      <c r="B87" s="5">
        <v>10</v>
      </c>
      <c r="C87" s="5"/>
      <c r="D87" s="4"/>
      <c r="E87" s="5"/>
      <c r="F87" s="5" t="str">
        <f>IF(OR(D87="",E87=""),"",E87*IFERROR(VLOOKUP(D87,Cat2B[],2,FALSE),""))</f>
        <v/>
      </c>
      <c r="G87" s="5" t="str">
        <f>IF(F87="","",F87/10)</f>
        <v/>
      </c>
      <c r="H87" s="5" t="str">
        <f t="shared" si="7"/>
        <v>2025-26</v>
      </c>
      <c r="I87" s="2"/>
    </row>
    <row r="88" spans="1:11" ht="12.75" x14ac:dyDescent="0.2">
      <c r="A88" s="1"/>
      <c r="B88" s="2"/>
      <c r="D88" s="13" t="s">
        <v>163</v>
      </c>
      <c r="E88" s="33" t="s">
        <v>29</v>
      </c>
      <c r="F88" s="4">
        <f t="shared" ref="F88:G88" si="8">SUM(F78:F87)</f>
        <v>0</v>
      </c>
      <c r="G88" s="4">
        <f t="shared" si="8"/>
        <v>0</v>
      </c>
      <c r="H88" s="31" t="s">
        <v>176</v>
      </c>
      <c r="I88" s="2"/>
    </row>
    <row r="89" spans="1:11" ht="12.75" x14ac:dyDescent="0.2">
      <c r="A89" s="1"/>
      <c r="B89" s="1"/>
      <c r="D89" s="13" t="s">
        <v>25</v>
      </c>
      <c r="E89" s="46">
        <f>G88</f>
        <v>0</v>
      </c>
      <c r="F89" s="41"/>
      <c r="G89" s="42"/>
      <c r="H89" s="31">
        <f>MIN(G88,K77)</f>
        <v>0</v>
      </c>
    </row>
    <row r="90" spans="1:11" ht="12.75" x14ac:dyDescent="0.2">
      <c r="A90" s="1"/>
      <c r="B90" s="1"/>
    </row>
    <row r="91" spans="1:11" ht="12.75" x14ac:dyDescent="0.2">
      <c r="A91" s="1"/>
      <c r="B91" s="1"/>
    </row>
    <row r="92" spans="1:11" ht="12.75" x14ac:dyDescent="0.2">
      <c r="A92" s="1" t="s">
        <v>165</v>
      </c>
      <c r="B92" s="1" t="s">
        <v>177</v>
      </c>
    </row>
    <row r="94" spans="1:11" ht="12.75" x14ac:dyDescent="0.2">
      <c r="B94" s="12" t="s">
        <v>146</v>
      </c>
      <c r="C94" s="12" t="s">
        <v>169</v>
      </c>
      <c r="D94" s="12" t="s">
        <v>178</v>
      </c>
      <c r="E94" s="12" t="s">
        <v>46</v>
      </c>
      <c r="F94" s="12" t="s">
        <v>171</v>
      </c>
      <c r="G94" s="12" t="s">
        <v>151</v>
      </c>
      <c r="J94" s="13" t="s">
        <v>152</v>
      </c>
      <c r="K94" s="5">
        <v>15</v>
      </c>
    </row>
    <row r="95" spans="1:11" ht="12.75" x14ac:dyDescent="0.2">
      <c r="B95" s="5">
        <v>1</v>
      </c>
      <c r="C95" s="5"/>
      <c r="D95" s="4"/>
      <c r="E95" s="5" t="str">
        <f>IFERROR(VLOOKUP(D95,Cat2C[],2,FALSE),"")</f>
        <v/>
      </c>
      <c r="F95" s="5" t="str">
        <f>IF(E95="","",E95/10)</f>
        <v/>
      </c>
      <c r="G95" s="5" t="str">
        <f t="shared" ref="G95:G102" si="9">"2025-26"</f>
        <v>2025-26</v>
      </c>
    </row>
    <row r="96" spans="1:11" ht="12.75" x14ac:dyDescent="0.2">
      <c r="B96" s="5">
        <v>2</v>
      </c>
      <c r="C96" s="5"/>
      <c r="D96" s="4"/>
      <c r="E96" s="5" t="str">
        <f>IFERROR(VLOOKUP(D96,Cat2C[],2,FALSE),"")</f>
        <v/>
      </c>
      <c r="F96" s="5" t="str">
        <f>IF(E96="","",E96/10)</f>
        <v/>
      </c>
      <c r="G96" s="5" t="str">
        <f t="shared" si="9"/>
        <v>2025-26</v>
      </c>
    </row>
    <row r="97" spans="1:11" ht="12.75" x14ac:dyDescent="0.2">
      <c r="B97" s="5">
        <v>3</v>
      </c>
      <c r="C97" s="5"/>
      <c r="D97" s="4"/>
      <c r="E97" s="5" t="str">
        <f>IFERROR(VLOOKUP(D97,Cat2C[],2,FALSE),"")</f>
        <v/>
      </c>
      <c r="F97" s="5" t="str">
        <f>IF(E97="","",E97/10)</f>
        <v/>
      </c>
      <c r="G97" s="5" t="str">
        <f t="shared" si="9"/>
        <v>2025-26</v>
      </c>
    </row>
    <row r="98" spans="1:11" ht="12.75" x14ac:dyDescent="0.2">
      <c r="B98" s="5">
        <v>4</v>
      </c>
      <c r="C98" s="5"/>
      <c r="D98" s="4"/>
      <c r="E98" s="5" t="str">
        <f>IFERROR(VLOOKUP(D98,Cat2C[],2,FALSE),"")</f>
        <v/>
      </c>
      <c r="F98" s="5" t="str">
        <f>IF(E98="","",E98/10)</f>
        <v/>
      </c>
      <c r="G98" s="5" t="str">
        <f t="shared" si="9"/>
        <v>2025-26</v>
      </c>
    </row>
    <row r="99" spans="1:11" ht="12.75" x14ac:dyDescent="0.2">
      <c r="B99" s="5">
        <v>5</v>
      </c>
      <c r="C99" s="5"/>
      <c r="D99" s="4"/>
      <c r="E99" s="5" t="str">
        <f>IFERROR(VLOOKUP(D99,Cat2C[],2,FALSE),"")</f>
        <v/>
      </c>
      <c r="F99" s="5" t="str">
        <f>IF(E99="","",E99/10)</f>
        <v/>
      </c>
      <c r="G99" s="5" t="str">
        <f t="shared" si="9"/>
        <v>2025-26</v>
      </c>
    </row>
    <row r="100" spans="1:11" ht="12.75" x14ac:dyDescent="0.2">
      <c r="B100" s="5">
        <v>6</v>
      </c>
      <c r="C100" s="5"/>
      <c r="D100" s="4"/>
      <c r="E100" s="5" t="str">
        <f>IFERROR(VLOOKUP(D100,Cat2C[],2,FALSE),"")</f>
        <v/>
      </c>
      <c r="F100" s="5" t="str">
        <f>IF(E100="","",E100/10)</f>
        <v/>
      </c>
      <c r="G100" s="5" t="str">
        <f t="shared" si="9"/>
        <v>2025-26</v>
      </c>
    </row>
    <row r="101" spans="1:11" ht="12.75" x14ac:dyDescent="0.2">
      <c r="B101" s="5">
        <v>7</v>
      </c>
      <c r="C101" s="5"/>
      <c r="D101" s="4"/>
      <c r="E101" s="5" t="str">
        <f>IFERROR(VLOOKUP(D101,Cat2C[],2,FALSE),"")</f>
        <v/>
      </c>
      <c r="F101" s="5" t="str">
        <f>IF(E101="","",E101/10)</f>
        <v/>
      </c>
      <c r="G101" s="5" t="str">
        <f t="shared" si="9"/>
        <v>2025-26</v>
      </c>
    </row>
    <row r="102" spans="1:11" ht="12.75" x14ac:dyDescent="0.2">
      <c r="B102" s="5">
        <v>8</v>
      </c>
      <c r="C102" s="5"/>
      <c r="D102" s="4"/>
      <c r="E102" s="5" t="str">
        <f>IFERROR(VLOOKUP(D102,Cat2C[],2,FALSE),"")</f>
        <v/>
      </c>
      <c r="F102" s="5" t="str">
        <f>IF(E102="","",E102/10)</f>
        <v/>
      </c>
      <c r="G102" s="5" t="str">
        <f t="shared" si="9"/>
        <v>2025-26</v>
      </c>
    </row>
    <row r="103" spans="1:11" ht="12.75" x14ac:dyDescent="0.2">
      <c r="D103" s="13" t="s">
        <v>163</v>
      </c>
      <c r="E103" s="4">
        <f t="shared" ref="E103:F103" si="10">SUM(E95:E102)</f>
        <v>0</v>
      </c>
      <c r="F103" s="4">
        <f t="shared" si="10"/>
        <v>0</v>
      </c>
      <c r="G103" s="31" t="s">
        <v>179</v>
      </c>
    </row>
    <row r="104" spans="1:11" ht="12.75" x14ac:dyDescent="0.2">
      <c r="D104" s="13" t="s">
        <v>17</v>
      </c>
      <c r="E104" s="46">
        <f>F103</f>
        <v>0</v>
      </c>
      <c r="F104" s="42"/>
      <c r="G104" s="31">
        <f>MIN(E104,K94)</f>
        <v>0</v>
      </c>
    </row>
    <row r="106" spans="1:11" ht="12.75" x14ac:dyDescent="0.2">
      <c r="B106" s="12" t="s">
        <v>15</v>
      </c>
      <c r="C106" s="12" t="s">
        <v>16</v>
      </c>
      <c r="D106" s="12" t="s">
        <v>17</v>
      </c>
      <c r="E106" s="34" t="s">
        <v>180</v>
      </c>
    </row>
    <row r="107" spans="1:11" ht="12.75" x14ac:dyDescent="0.2">
      <c r="B107" s="5">
        <f>G73</f>
        <v>0</v>
      </c>
      <c r="C107" s="5">
        <f>H89</f>
        <v>0</v>
      </c>
      <c r="D107" s="5">
        <f>G104</f>
        <v>0</v>
      </c>
      <c r="E107" s="5">
        <f>SUM(B107:D107)</f>
        <v>0</v>
      </c>
    </row>
    <row r="109" spans="1:11" ht="20.25" x14ac:dyDescent="0.3">
      <c r="A109" s="38" t="s">
        <v>19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2.75" x14ac:dyDescent="0.2">
      <c r="A110" s="1"/>
      <c r="B110" s="1"/>
    </row>
    <row r="111" spans="1:11" ht="12.75" x14ac:dyDescent="0.2">
      <c r="A111" s="1" t="s">
        <v>144</v>
      </c>
      <c r="B111" s="1" t="s">
        <v>181</v>
      </c>
    </row>
    <row r="112" spans="1:11" ht="12.75" x14ac:dyDescent="0.2">
      <c r="A112" s="1"/>
      <c r="B112" s="1"/>
    </row>
    <row r="113" spans="1:9" ht="12.75" x14ac:dyDescent="0.2">
      <c r="A113" s="1"/>
      <c r="B113" s="12" t="s">
        <v>146</v>
      </c>
      <c r="C113" s="12" t="s">
        <v>182</v>
      </c>
      <c r="D113" s="12" t="s">
        <v>183</v>
      </c>
      <c r="E113" s="12" t="s">
        <v>184</v>
      </c>
      <c r="F113" s="12" t="s">
        <v>83</v>
      </c>
      <c r="G113" s="12" t="s">
        <v>185</v>
      </c>
      <c r="H113" s="12" t="s">
        <v>171</v>
      </c>
      <c r="I113" s="12" t="s">
        <v>151</v>
      </c>
    </row>
    <row r="114" spans="1:9" ht="12.75" x14ac:dyDescent="0.2">
      <c r="A114" s="1"/>
      <c r="B114" s="4"/>
      <c r="C114" s="5"/>
      <c r="D114" s="5"/>
      <c r="E114" s="5"/>
      <c r="F114" s="5"/>
      <c r="G114" s="5"/>
      <c r="H114" s="5" t="str">
        <f>IF(OR(F114="",G114=""),"",SUMIFS(Lookup!$C$40:$C$57,Lookup!$A$40:$A$57,F114,Lookup!$B$40:$B$57,G114))</f>
        <v/>
      </c>
      <c r="I114" s="5" t="str">
        <f>"2025-26"</f>
        <v>2025-26</v>
      </c>
    </row>
    <row r="115" spans="1:9" ht="12.75" x14ac:dyDescent="0.2">
      <c r="A115" s="1"/>
      <c r="B115" s="1"/>
      <c r="G115" s="13" t="s">
        <v>163</v>
      </c>
      <c r="H115" s="4">
        <f>SUM(H114)</f>
        <v>0</v>
      </c>
      <c r="I115" s="4"/>
    </row>
    <row r="116" spans="1:9" ht="12.75" x14ac:dyDescent="0.2">
      <c r="A116" s="1"/>
      <c r="B116" s="1"/>
    </row>
    <row r="117" spans="1:9" ht="12.75" x14ac:dyDescent="0.2">
      <c r="A117" s="1" t="s">
        <v>156</v>
      </c>
      <c r="B117" s="1" t="s">
        <v>186</v>
      </c>
    </row>
    <row r="119" spans="1:9" ht="12.75" x14ac:dyDescent="0.2">
      <c r="B119" s="12" t="s">
        <v>146</v>
      </c>
      <c r="C119" s="12" t="s">
        <v>187</v>
      </c>
      <c r="D119" s="12" t="s">
        <v>85</v>
      </c>
      <c r="E119" s="12" t="s">
        <v>45</v>
      </c>
      <c r="F119" s="12" t="s">
        <v>171</v>
      </c>
      <c r="G119" s="12" t="s">
        <v>151</v>
      </c>
    </row>
    <row r="120" spans="1:9" ht="14.25" x14ac:dyDescent="0.2">
      <c r="B120" s="5">
        <v>1</v>
      </c>
      <c r="C120" s="5"/>
      <c r="D120" s="4"/>
      <c r="E120" s="35"/>
      <c r="F120" s="5" t="str">
        <f>IF(OR(D120="",E120=""),"",SUMIFS(Lookup!$G$40:$G$81,Lookup!$E$40:$E$81,D120,Lookup!$F$40:$F$81,E120))</f>
        <v/>
      </c>
      <c r="G120" s="5" t="str">
        <f t="shared" ref="G120:G128" si="11">"2025-26"</f>
        <v>2025-26</v>
      </c>
    </row>
    <row r="121" spans="1:9" ht="14.25" x14ac:dyDescent="0.2">
      <c r="B121" s="5">
        <v>2</v>
      </c>
      <c r="C121" s="5"/>
      <c r="D121" s="4"/>
      <c r="E121" s="35"/>
      <c r="F121" s="5" t="str">
        <f>IF(OR(D121="",E121=""),"",SUMIFS(Lookup!$G$40:$G$81,Lookup!$E$40:$E$81,D121,Lookup!$F$40:$F$81,E121))</f>
        <v/>
      </c>
      <c r="G121" s="5" t="str">
        <f t="shared" si="11"/>
        <v>2025-26</v>
      </c>
    </row>
    <row r="122" spans="1:9" ht="14.25" x14ac:dyDescent="0.2">
      <c r="B122" s="5">
        <v>3</v>
      </c>
      <c r="C122" s="5"/>
      <c r="D122" s="4"/>
      <c r="E122" s="35"/>
      <c r="F122" s="5" t="str">
        <f>IF(OR(D122="",E122=""),"",SUMIFS(Lookup!$G$40:$G$81,Lookup!$E$40:$E$81,D122,Lookup!$F$40:$F$81,E122))</f>
        <v/>
      </c>
      <c r="G122" s="5" t="str">
        <f t="shared" si="11"/>
        <v>2025-26</v>
      </c>
    </row>
    <row r="123" spans="1:9" ht="14.25" x14ac:dyDescent="0.2">
      <c r="B123" s="5">
        <v>4</v>
      </c>
      <c r="C123" s="5"/>
      <c r="D123" s="4"/>
      <c r="E123" s="35"/>
      <c r="F123" s="5" t="str">
        <f>IF(OR(D123="",E123=""),"",SUMIFS(Lookup!$G$40:$G$81,Lookup!$E$40:$E$81,D123,Lookup!$F$40:$F$81,E123))</f>
        <v/>
      </c>
      <c r="G123" s="5" t="str">
        <f t="shared" si="11"/>
        <v>2025-26</v>
      </c>
    </row>
    <row r="124" spans="1:9" ht="14.25" x14ac:dyDescent="0.2">
      <c r="B124" s="5">
        <v>5</v>
      </c>
      <c r="C124" s="5"/>
      <c r="D124" s="4"/>
      <c r="E124" s="35"/>
      <c r="F124" s="5" t="str">
        <f>IF(OR(D124="",E124=""),"",SUMIFS(Lookup!$G$40:$G$81,Lookup!$E$40:$E$81,D124,Lookup!$F$40:$F$81,E124))</f>
        <v/>
      </c>
      <c r="G124" s="5" t="str">
        <f t="shared" si="11"/>
        <v>2025-26</v>
      </c>
    </row>
    <row r="125" spans="1:9" ht="14.25" x14ac:dyDescent="0.2">
      <c r="B125" s="5">
        <v>6</v>
      </c>
      <c r="C125" s="5"/>
      <c r="D125" s="4"/>
      <c r="E125" s="35"/>
      <c r="F125" s="5" t="str">
        <f>IF(OR(D125="",E125=""),"",SUMIFS(Lookup!$G$40:$G$81,Lookup!$E$40:$E$81,D125,Lookup!$F$40:$F$81,E125))</f>
        <v/>
      </c>
      <c r="G125" s="5" t="str">
        <f t="shared" si="11"/>
        <v>2025-26</v>
      </c>
    </row>
    <row r="126" spans="1:9" ht="14.25" x14ac:dyDescent="0.2">
      <c r="B126" s="5">
        <v>7</v>
      </c>
      <c r="C126" s="5"/>
      <c r="D126" s="4"/>
      <c r="E126" s="35"/>
      <c r="F126" s="5" t="str">
        <f>IF(OR(D126="",E126=""),"",SUMIFS(Lookup!$G$40:$G$81,Lookup!$E$40:$E$81,D126,Lookup!$F$40:$F$81,E126))</f>
        <v/>
      </c>
      <c r="G126" s="5" t="str">
        <f t="shared" si="11"/>
        <v>2025-26</v>
      </c>
    </row>
    <row r="127" spans="1:9" ht="14.25" x14ac:dyDescent="0.2">
      <c r="B127" s="5">
        <v>8</v>
      </c>
      <c r="C127" s="5"/>
      <c r="D127" s="4"/>
      <c r="E127" s="35"/>
      <c r="F127" s="5" t="str">
        <f>IF(OR(D127="",E127=""),"",SUMIFS(Lookup!$G$40:$G$81,Lookup!$E$40:$E$81,D127,Lookup!$F$40:$F$81,E127))</f>
        <v/>
      </c>
      <c r="G127" s="5" t="str">
        <f t="shared" si="11"/>
        <v>2025-26</v>
      </c>
    </row>
    <row r="128" spans="1:9" ht="14.25" x14ac:dyDescent="0.2">
      <c r="B128" s="5">
        <v>9</v>
      </c>
      <c r="C128" s="5"/>
      <c r="D128" s="4"/>
      <c r="E128" s="35"/>
      <c r="F128" s="5" t="str">
        <f>IF(OR(D128="",E128=""),"",SUMIFS(Lookup!$G$40:$G$81,Lookup!$E$40:$E$81,D128,Lookup!$F$40:$F$81,E128))</f>
        <v/>
      </c>
      <c r="G128" s="5" t="str">
        <f t="shared" si="11"/>
        <v>2025-26</v>
      </c>
    </row>
    <row r="129" spans="2:7" ht="12.75" x14ac:dyDescent="0.2">
      <c r="E129" s="13" t="s">
        <v>163</v>
      </c>
      <c r="F129" s="4">
        <f>SUM(F120:F128)</f>
        <v>0</v>
      </c>
      <c r="G129" s="4"/>
    </row>
    <row r="131" spans="2:7" ht="12.75" x14ac:dyDescent="0.2">
      <c r="B131" s="12" t="s">
        <v>188</v>
      </c>
      <c r="C131" s="12" t="s">
        <v>189</v>
      </c>
      <c r="D131" s="34" t="s">
        <v>190</v>
      </c>
    </row>
    <row r="132" spans="2:7" ht="12.75" x14ac:dyDescent="0.2">
      <c r="B132" s="5">
        <f>H115</f>
        <v>0</v>
      </c>
      <c r="C132" s="5">
        <f>F129</f>
        <v>0</v>
      </c>
      <c r="D132" s="5">
        <f>SUM(B132:C132)</f>
        <v>0</v>
      </c>
    </row>
    <row r="149" spans="2:7" ht="12.75" x14ac:dyDescent="0.2">
      <c r="B149" s="4" t="s">
        <v>138</v>
      </c>
      <c r="C149" s="4" t="s">
        <v>139</v>
      </c>
      <c r="D149" s="1" t="s">
        <v>140</v>
      </c>
      <c r="E149" s="1" t="s">
        <v>141</v>
      </c>
    </row>
    <row r="150" spans="2:7" ht="12.75" x14ac:dyDescent="0.2">
      <c r="B150" s="5" t="s">
        <v>142</v>
      </c>
      <c r="C150" s="5" t="s">
        <v>142</v>
      </c>
      <c r="D150" s="5" t="s">
        <v>142</v>
      </c>
      <c r="E150" s="5" t="s">
        <v>142</v>
      </c>
    </row>
    <row r="151" spans="2:7" ht="12.75" x14ac:dyDescent="0.2">
      <c r="B151" s="5" t="e">
        <f t="array" aca="1" ref="B151:B156" ca="1">_xludf.UNIQUE(INDEX(Cat3A[],,1))</f>
        <v>#NAME?</v>
      </c>
      <c r="C151" s="5" t="str">
        <f ca="1">IFERROR(__xludf.DUMMYFUNCTION("UNIQUE(FILTER(INDEX(Cat3A,,2),INDEX(Cat3A,,1)=F114))"),"#N/A")</f>
        <v>#N/A</v>
      </c>
      <c r="D151" s="2" t="e">
        <f t="array" aca="1" ref="D151:D161" ca="1">_xludf.UNIQUE(INDEX(Cat3B[],,1))</f>
        <v>#NAME?</v>
      </c>
      <c r="E151" s="2" t="str">
        <f ca="1">IFERROR(__xludf.DUMMYFUNCTION("TRANSPOSE(UNIQUE(FILTER(INDEX(Cat3B,,2),INDEX(Cat3B,,1)=D120)))"),"International Award / Fellowship from Academic Bodies/Associations")</f>
        <v>International Award / Fellowship from Academic Bodies/Associations</v>
      </c>
      <c r="F151" s="2" t="str">
        <f ca="1">IFERROR(__xludf.DUMMYFUNCTION("""COMPUTED_VALUE"""),"National Award / Fellowship from Academic Bodies/Associations")</f>
        <v>National Award / Fellowship from Academic Bodies/Associations</v>
      </c>
      <c r="G151" s="2" t="str">
        <f ca="1">IFERROR(__xludf.DUMMYFUNCTION("""COMPUTED_VALUE"""),"State / University Award/Fellowship from Academic Bodies/Associations")</f>
        <v>State / University Award/Fellowship from Academic Bodies/Associations</v>
      </c>
    </row>
    <row r="152" spans="2:7" ht="12.75" x14ac:dyDescent="0.2">
      <c r="B152" s="5" t="e">
        <f ca="1"/>
        <v>#NAME?</v>
      </c>
      <c r="C152" s="5"/>
      <c r="D152" s="2" t="e">
        <f ca="1"/>
        <v>#NAME?</v>
      </c>
    </row>
    <row r="153" spans="2:7" ht="12.75" x14ac:dyDescent="0.2">
      <c r="B153" s="5" t="e">
        <f ca="1"/>
        <v>#NAME?</v>
      </c>
      <c r="C153" s="5"/>
      <c r="D153" s="2" t="e">
        <f ca="1"/>
        <v>#NAME?</v>
      </c>
    </row>
    <row r="154" spans="2:7" ht="12.75" x14ac:dyDescent="0.2">
      <c r="B154" s="5" t="e">
        <f ca="1"/>
        <v>#NAME?</v>
      </c>
      <c r="C154" s="5"/>
      <c r="D154" s="2" t="e">
        <f ca="1"/>
        <v>#NAME?</v>
      </c>
    </row>
    <row r="155" spans="2:7" ht="12.75" x14ac:dyDescent="0.2">
      <c r="B155" s="5" t="e">
        <f ca="1"/>
        <v>#NAME?</v>
      </c>
      <c r="C155" s="5"/>
      <c r="D155" s="2" t="e">
        <f ca="1"/>
        <v>#NAME?</v>
      </c>
    </row>
    <row r="156" spans="2:7" ht="12.75" x14ac:dyDescent="0.2">
      <c r="B156" s="5" t="e">
        <f ca="1"/>
        <v>#NAME?</v>
      </c>
      <c r="C156" s="5"/>
      <c r="D156" s="2" t="e">
        <f ca="1"/>
        <v>#NAME?</v>
      </c>
    </row>
    <row r="157" spans="2:7" ht="12.75" x14ac:dyDescent="0.2">
      <c r="D157" s="2" t="e">
        <f ca="1"/>
        <v>#NAME?</v>
      </c>
    </row>
    <row r="158" spans="2:7" ht="12.75" x14ac:dyDescent="0.2">
      <c r="D158" s="2" t="e">
        <f ca="1"/>
        <v>#NAME?</v>
      </c>
    </row>
    <row r="159" spans="2:7" ht="12.75" x14ac:dyDescent="0.2">
      <c r="D159" s="2" t="e">
        <f ca="1"/>
        <v>#NAME?</v>
      </c>
    </row>
    <row r="160" spans="2:7" ht="12.75" x14ac:dyDescent="0.2">
      <c r="D160" s="2" t="e">
        <f ca="1"/>
        <v>#NAME?</v>
      </c>
    </row>
    <row r="161" spans="4:4" ht="12.75" x14ac:dyDescent="0.2">
      <c r="D161" s="2" t="e">
        <f ca="1"/>
        <v>#NAME?</v>
      </c>
    </row>
  </sheetData>
  <mergeCells count="13">
    <mergeCell ref="A109:K109"/>
    <mergeCell ref="A1:K1"/>
    <mergeCell ref="B2:G2"/>
    <mergeCell ref="E11:G11"/>
    <mergeCell ref="B13:G13"/>
    <mergeCell ref="B16:C16"/>
    <mergeCell ref="B17:C17"/>
    <mergeCell ref="E31:F31"/>
    <mergeCell ref="B33:G33"/>
    <mergeCell ref="A47:K47"/>
    <mergeCell ref="E73:F73"/>
    <mergeCell ref="E89:G89"/>
    <mergeCell ref="E104:F104"/>
  </mergeCells>
  <dataValidations count="9">
    <dataValidation type="list" allowBlank="1" showErrorMessage="1" sqref="E120:E128" xr:uid="{00000000-0002-0000-0200-000002000000}">
      <formula1>$E$150:$E$161</formula1>
    </dataValidation>
    <dataValidation type="list" allowBlank="1" showInputMessage="1" showErrorMessage="1" sqref="D5:D9 D36:D40" xr:uid="{A59770F8-776B-4AE6-98BB-48C3D313C05E}">
      <formula1>CourseIn</formula1>
    </dataValidation>
    <dataValidation type="list" allowBlank="1" showInputMessage="1" showErrorMessage="1" sqref="D18:D29" xr:uid="{2E32568B-DDC1-436E-B7AA-E4C00C612B21}">
      <formula1>ExamMode</formula1>
    </dataValidation>
    <dataValidation type="list" allowBlank="1" showInputMessage="1" showErrorMessage="1" sqref="D51:D71" xr:uid="{BB38A1B0-A2C0-42E4-886A-7636DAFD9586}">
      <formula1>Cat2AList</formula1>
    </dataValidation>
    <dataValidation type="list" allowBlank="1" showInputMessage="1" showErrorMessage="1" sqref="D78:D87" xr:uid="{89A33E6D-39B6-4BB4-BAB3-048CEDE92C54}">
      <formula1>Cat2BList</formula1>
    </dataValidation>
    <dataValidation type="list" allowBlank="1" showInputMessage="1" showErrorMessage="1" sqref="D95:D102" xr:uid="{F0A94451-847A-4FCC-8502-9972DECEDAD9}">
      <formula1>Cat2CList</formula1>
    </dataValidation>
    <dataValidation type="list" allowBlank="1" showInputMessage="1" showErrorMessage="1" sqref="F114" xr:uid="{FFA3FF5E-8A8F-4420-AEB5-40DA904DFC6E}">
      <formula1>Cat3AClassList</formula1>
    </dataValidation>
    <dataValidation type="list" allowBlank="1" showInputMessage="1" showErrorMessage="1" sqref="G114" xr:uid="{2127EB7C-E3E0-4345-A54E-08409D9C7942}">
      <formula1>Cat3AAuthorList</formula1>
    </dataValidation>
    <dataValidation type="list" allowBlank="1" showInputMessage="1" showErrorMessage="1" sqref="D120:D128" xr:uid="{00FDD4DA-8EF0-44AC-9592-AE1B096B7592}">
      <formula1>Cat3BCategoryList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61"/>
  <sheetViews>
    <sheetView workbookViewId="0"/>
  </sheetViews>
  <sheetFormatPr defaultColWidth="12.5703125" defaultRowHeight="15.75" customHeight="1" x14ac:dyDescent="0.2"/>
  <cols>
    <col min="1" max="1" width="5.7109375" customWidth="1"/>
    <col min="2" max="2" width="9.5703125" customWidth="1"/>
    <col min="3" max="3" width="55" customWidth="1"/>
    <col min="4" max="4" width="63.42578125" customWidth="1"/>
    <col min="5" max="5" width="25" customWidth="1"/>
    <col min="6" max="6" width="14.28515625" customWidth="1"/>
    <col min="8" max="8" width="13" customWidth="1"/>
  </cols>
  <sheetData>
    <row r="1" spans="1:11" ht="15.75" customHeight="1" x14ac:dyDescent="0.3">
      <c r="A1" s="38" t="s">
        <v>143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.75" x14ac:dyDescent="0.2">
      <c r="A2" s="1" t="s">
        <v>144</v>
      </c>
      <c r="B2" s="39" t="s">
        <v>145</v>
      </c>
      <c r="C2" s="37"/>
      <c r="D2" s="37"/>
      <c r="E2" s="37"/>
      <c r="F2" s="37"/>
      <c r="G2" s="37"/>
    </row>
    <row r="3" spans="1:11" ht="12.75" x14ac:dyDescent="0.2">
      <c r="A3" s="2"/>
      <c r="B3" s="2"/>
    </row>
    <row r="4" spans="1:11" ht="12.75" x14ac:dyDescent="0.2">
      <c r="A4" s="2"/>
      <c r="B4" s="12" t="s">
        <v>146</v>
      </c>
      <c r="C4" s="12" t="s">
        <v>197</v>
      </c>
      <c r="D4" s="12" t="s">
        <v>148</v>
      </c>
      <c r="E4" s="12" t="s">
        <v>149</v>
      </c>
      <c r="F4" s="12" t="s">
        <v>198</v>
      </c>
      <c r="G4" s="12" t="s">
        <v>150</v>
      </c>
      <c r="H4" s="12" t="s">
        <v>151</v>
      </c>
      <c r="J4" s="13" t="s">
        <v>152</v>
      </c>
      <c r="K4" s="5">
        <f>60</f>
        <v>60</v>
      </c>
    </row>
    <row r="5" spans="1:11" ht="12.75" x14ac:dyDescent="0.2">
      <c r="A5" s="2"/>
      <c r="B5" s="5">
        <v>1</v>
      </c>
      <c r="C5" s="5"/>
      <c r="D5" s="4"/>
      <c r="E5" s="5"/>
      <c r="F5" s="5" t="str">
        <f>IF(OR(C5="",D5="",E5=""),"",IF(D5="Post Graduate",ROUND(E5*7/3,0),IF(D5="Under Graduate",ROUND(ROUND(E5*7/3,0)/2,1),"")))</f>
        <v/>
      </c>
      <c r="G5" s="14" t="str">
        <f>IF(F5="","",ROUND(F5/10,2))</f>
        <v/>
      </c>
      <c r="H5" s="5" t="str">
        <f t="shared" ref="H5:H9" si="0">"2026-27"</f>
        <v>2026-27</v>
      </c>
      <c r="I5" s="2"/>
    </row>
    <row r="6" spans="1:11" ht="12.75" x14ac:dyDescent="0.2">
      <c r="A6" s="2"/>
      <c r="B6" s="5">
        <v>2</v>
      </c>
      <c r="C6" s="5"/>
      <c r="D6" s="4"/>
      <c r="E6" s="5"/>
      <c r="F6" s="5" t="str">
        <f>IF(OR(C6="",D6="",E6=""),"",IF(D6="Post Graduate",ROUND(E6*7/3,0),IF(D6="Under Graduate",ROUND(ROUND(E6*7/3,0)/2,1),"")))</f>
        <v/>
      </c>
      <c r="G6" s="14" t="str">
        <f>IF(F6="","",ROUND(F6/10,2))</f>
        <v/>
      </c>
      <c r="H6" s="5" t="str">
        <f t="shared" si="0"/>
        <v>2026-27</v>
      </c>
      <c r="I6" s="2"/>
    </row>
    <row r="7" spans="1:11" ht="12.75" x14ac:dyDescent="0.2">
      <c r="A7" s="2"/>
      <c r="B7" s="5">
        <v>3</v>
      </c>
      <c r="C7" s="5"/>
      <c r="D7" s="4"/>
      <c r="E7" s="5"/>
      <c r="F7" s="5" t="str">
        <f>IF(OR(C7="",D7="",E7=""),"",IF(D7="Post Graduate",ROUND(E7*7/3,0),IF(D7="Under Graduate",ROUND(ROUND(E7*7/3,0)/2,1),"")))</f>
        <v/>
      </c>
      <c r="G7" s="14" t="str">
        <f>IF(F7="","",ROUND(F7/10,2))</f>
        <v/>
      </c>
      <c r="H7" s="5" t="str">
        <f t="shared" si="0"/>
        <v>2026-27</v>
      </c>
      <c r="I7" s="2"/>
    </row>
    <row r="8" spans="1:11" ht="12.75" x14ac:dyDescent="0.2">
      <c r="A8" s="2"/>
      <c r="B8" s="5">
        <v>4</v>
      </c>
      <c r="C8" s="5"/>
      <c r="D8" s="4"/>
      <c r="E8" s="5"/>
      <c r="F8" s="5" t="str">
        <f>IF(OR(C8="",D8="",E8=""),"",IF(D8="Post Graduate",ROUND(E8*7/3,0),IF(D8="Under Graduate",ROUND(ROUND(E8*7/3,0)/2,1),"")))</f>
        <v/>
      </c>
      <c r="G8" s="14" t="str">
        <f>IF(F8="","",ROUND(F8/10,2))</f>
        <v/>
      </c>
      <c r="H8" s="5" t="str">
        <f t="shared" si="0"/>
        <v>2026-27</v>
      </c>
      <c r="I8" s="2"/>
    </row>
    <row r="9" spans="1:11" ht="12.75" x14ac:dyDescent="0.2">
      <c r="A9" s="2"/>
      <c r="B9" s="5">
        <v>5</v>
      </c>
      <c r="C9" s="5"/>
      <c r="D9" s="4"/>
      <c r="E9" s="5"/>
      <c r="F9" s="5" t="str">
        <f>IF(OR(C9="",D9="",E9=""),"",IF(D9="Post Graduate",ROUND(E9*7/3,0),IF(D9="Under Graduate",ROUND(ROUND(E9*7/3,0)/2,1),"")))</f>
        <v/>
      </c>
      <c r="G9" s="14" t="str">
        <f>IF(F9="","",ROUND(F9/10,2))</f>
        <v/>
      </c>
      <c r="H9" s="5" t="str">
        <f t="shared" si="0"/>
        <v>2026-27</v>
      </c>
      <c r="I9" s="2"/>
    </row>
    <row r="10" spans="1:11" ht="12.75" x14ac:dyDescent="0.2">
      <c r="A10" s="1"/>
      <c r="B10" s="15"/>
      <c r="D10" s="16" t="s">
        <v>154</v>
      </c>
      <c r="E10" s="17">
        <f>SUM(E5:E9)</f>
        <v>0</v>
      </c>
      <c r="F10" s="17">
        <f>SUM(F5:F9)</f>
        <v>0</v>
      </c>
      <c r="G10" s="18">
        <f>SUM(G5:G9)</f>
        <v>0</v>
      </c>
      <c r="H10" s="19" t="s">
        <v>155</v>
      </c>
    </row>
    <row r="11" spans="1:11" ht="12.75" x14ac:dyDescent="0.2">
      <c r="A11" s="1"/>
      <c r="B11" s="15"/>
      <c r="C11" s="15"/>
      <c r="D11" s="20" t="s">
        <v>10</v>
      </c>
      <c r="E11" s="40">
        <f>G10</f>
        <v>0</v>
      </c>
      <c r="F11" s="41"/>
      <c r="G11" s="42"/>
      <c r="H11" s="21">
        <f>MIN(E11,K4)</f>
        <v>0</v>
      </c>
    </row>
    <row r="12" spans="1:11" ht="12.75" x14ac:dyDescent="0.2">
      <c r="A12" s="1"/>
      <c r="B12" s="15"/>
      <c r="C12" s="15"/>
      <c r="D12" s="15"/>
      <c r="E12" s="15"/>
      <c r="F12" s="15"/>
      <c r="G12" s="15"/>
    </row>
    <row r="13" spans="1:11" ht="12.75" x14ac:dyDescent="0.2">
      <c r="A13" s="1" t="s">
        <v>156</v>
      </c>
      <c r="B13" s="43" t="s">
        <v>157</v>
      </c>
      <c r="C13" s="37"/>
      <c r="D13" s="37"/>
      <c r="E13" s="37"/>
      <c r="F13" s="37"/>
      <c r="G13" s="37"/>
    </row>
    <row r="15" spans="1:11" ht="12.75" x14ac:dyDescent="0.2">
      <c r="B15" s="12" t="s">
        <v>146</v>
      </c>
      <c r="C15" s="12" t="s">
        <v>147</v>
      </c>
      <c r="D15" s="12" t="s">
        <v>199</v>
      </c>
      <c r="E15" s="12" t="s">
        <v>200</v>
      </c>
      <c r="F15" s="12" t="s">
        <v>46</v>
      </c>
      <c r="G15" s="12" t="s">
        <v>151</v>
      </c>
      <c r="J15" s="13" t="s">
        <v>152</v>
      </c>
      <c r="K15" s="5">
        <f>20</f>
        <v>20</v>
      </c>
    </row>
    <row r="16" spans="1:11" ht="12.75" x14ac:dyDescent="0.2">
      <c r="B16" s="44" t="s">
        <v>158</v>
      </c>
      <c r="C16" s="42"/>
      <c r="D16" s="22" t="s">
        <v>159</v>
      </c>
      <c r="E16" s="5">
        <f>COUNTA(C5:C9)*10</f>
        <v>0</v>
      </c>
      <c r="F16" s="5">
        <f>ROUND(E16/10,2)</f>
        <v>0</v>
      </c>
      <c r="G16" s="5" t="str">
        <f t="shared" ref="G16:G29" si="1">"2026-27"</f>
        <v>2026-27</v>
      </c>
    </row>
    <row r="17" spans="1:7" ht="12.75" x14ac:dyDescent="0.2">
      <c r="B17" s="44" t="s">
        <v>160</v>
      </c>
      <c r="C17" s="42"/>
      <c r="D17" s="22" t="s">
        <v>161</v>
      </c>
      <c r="E17" s="5">
        <f>COUNTA(C5:C9)*20</f>
        <v>0</v>
      </c>
      <c r="F17" s="5">
        <f>ROUND(E17/10,2)</f>
        <v>0</v>
      </c>
      <c r="G17" s="5" t="str">
        <f t="shared" si="1"/>
        <v>2026-27</v>
      </c>
    </row>
    <row r="18" spans="1:7" ht="12.75" x14ac:dyDescent="0.2">
      <c r="B18" s="5">
        <v>1</v>
      </c>
      <c r="C18" s="5"/>
      <c r="D18" s="4"/>
      <c r="E18" s="5"/>
      <c r="F18" s="5" t="str">
        <f t="shared" ref="F18:F29" si="2">IF(OR(D18="",E18=""),"",ROUND(E18/10,2))</f>
        <v/>
      </c>
      <c r="G18" s="5" t="str">
        <f t="shared" si="1"/>
        <v>2026-27</v>
      </c>
    </row>
    <row r="19" spans="1:7" ht="12.75" x14ac:dyDescent="0.2">
      <c r="B19" s="5">
        <v>2</v>
      </c>
      <c r="C19" s="5"/>
      <c r="D19" s="4"/>
      <c r="E19" s="5"/>
      <c r="F19" s="5" t="str">
        <f t="shared" si="2"/>
        <v/>
      </c>
      <c r="G19" s="5" t="str">
        <f t="shared" si="1"/>
        <v>2026-27</v>
      </c>
    </row>
    <row r="20" spans="1:7" ht="12.75" x14ac:dyDescent="0.2">
      <c r="A20" s="1"/>
      <c r="B20" s="5">
        <v>3</v>
      </c>
      <c r="C20" s="5"/>
      <c r="D20" s="4"/>
      <c r="E20" s="5"/>
      <c r="F20" s="5" t="str">
        <f t="shared" si="2"/>
        <v/>
      </c>
      <c r="G20" s="5" t="str">
        <f t="shared" si="1"/>
        <v>2026-27</v>
      </c>
    </row>
    <row r="21" spans="1:7" ht="12.75" x14ac:dyDescent="0.2">
      <c r="A21" s="1"/>
      <c r="B21" s="5">
        <v>4</v>
      </c>
      <c r="C21" s="5"/>
      <c r="D21" s="4"/>
      <c r="E21" s="5"/>
      <c r="F21" s="5" t="str">
        <f t="shared" si="2"/>
        <v/>
      </c>
      <c r="G21" s="5" t="str">
        <f t="shared" si="1"/>
        <v>2026-27</v>
      </c>
    </row>
    <row r="22" spans="1:7" ht="12.75" x14ac:dyDescent="0.2">
      <c r="A22" s="1"/>
      <c r="B22" s="5">
        <v>5</v>
      </c>
      <c r="C22" s="5"/>
      <c r="D22" s="4"/>
      <c r="E22" s="5"/>
      <c r="F22" s="5" t="str">
        <f t="shared" si="2"/>
        <v/>
      </c>
      <c r="G22" s="5" t="str">
        <f t="shared" si="1"/>
        <v>2026-27</v>
      </c>
    </row>
    <row r="23" spans="1:7" ht="12.75" x14ac:dyDescent="0.2">
      <c r="A23" s="1"/>
      <c r="B23" s="5">
        <v>6</v>
      </c>
      <c r="C23" s="5"/>
      <c r="D23" s="4"/>
      <c r="E23" s="5"/>
      <c r="F23" s="5" t="str">
        <f t="shared" si="2"/>
        <v/>
      </c>
      <c r="G23" s="5" t="str">
        <f t="shared" si="1"/>
        <v>2026-27</v>
      </c>
    </row>
    <row r="24" spans="1:7" ht="12.75" x14ac:dyDescent="0.2">
      <c r="A24" s="1"/>
      <c r="B24" s="5">
        <v>7</v>
      </c>
      <c r="C24" s="5"/>
      <c r="D24" s="4"/>
      <c r="E24" s="5"/>
      <c r="F24" s="5" t="str">
        <f t="shared" si="2"/>
        <v/>
      </c>
      <c r="G24" s="5" t="str">
        <f t="shared" si="1"/>
        <v>2026-27</v>
      </c>
    </row>
    <row r="25" spans="1:7" ht="12.75" x14ac:dyDescent="0.2">
      <c r="A25" s="1"/>
      <c r="B25" s="5">
        <v>8</v>
      </c>
      <c r="C25" s="5"/>
      <c r="D25" s="4"/>
      <c r="E25" s="5"/>
      <c r="F25" s="5" t="str">
        <f t="shared" si="2"/>
        <v/>
      </c>
      <c r="G25" s="5" t="str">
        <f t="shared" si="1"/>
        <v>2026-27</v>
      </c>
    </row>
    <row r="26" spans="1:7" ht="12.75" x14ac:dyDescent="0.2">
      <c r="A26" s="1"/>
      <c r="B26" s="5">
        <v>9</v>
      </c>
      <c r="C26" s="5"/>
      <c r="D26" s="4"/>
      <c r="E26" s="5"/>
      <c r="F26" s="5" t="str">
        <f t="shared" si="2"/>
        <v/>
      </c>
      <c r="G26" s="5" t="str">
        <f t="shared" si="1"/>
        <v>2026-27</v>
      </c>
    </row>
    <row r="27" spans="1:7" ht="12.75" x14ac:dyDescent="0.2">
      <c r="A27" s="1"/>
      <c r="B27" s="5">
        <v>10</v>
      </c>
      <c r="C27" s="5"/>
      <c r="D27" s="4"/>
      <c r="E27" s="5"/>
      <c r="F27" s="5" t="str">
        <f t="shared" si="2"/>
        <v/>
      </c>
      <c r="G27" s="5" t="str">
        <f t="shared" si="1"/>
        <v>2026-27</v>
      </c>
    </row>
    <row r="28" spans="1:7" ht="12.75" x14ac:dyDescent="0.2">
      <c r="A28" s="1"/>
      <c r="B28" s="5">
        <v>11</v>
      </c>
      <c r="C28" s="5"/>
      <c r="D28" s="4"/>
      <c r="E28" s="5"/>
      <c r="F28" s="5" t="str">
        <f t="shared" si="2"/>
        <v/>
      </c>
      <c r="G28" s="5" t="str">
        <f t="shared" si="1"/>
        <v>2026-27</v>
      </c>
    </row>
    <row r="29" spans="1:7" ht="12.75" x14ac:dyDescent="0.2">
      <c r="A29" s="1"/>
      <c r="B29" s="5">
        <v>12</v>
      </c>
      <c r="C29" s="5"/>
      <c r="D29" s="4"/>
      <c r="E29" s="5"/>
      <c r="F29" s="5" t="str">
        <f t="shared" si="2"/>
        <v/>
      </c>
      <c r="G29" s="5" t="str">
        <f t="shared" si="1"/>
        <v>2026-27</v>
      </c>
    </row>
    <row r="30" spans="1:7" ht="12.75" x14ac:dyDescent="0.2">
      <c r="A30" s="1"/>
      <c r="B30" s="1"/>
      <c r="C30" s="1"/>
      <c r="D30" s="16" t="s">
        <v>163</v>
      </c>
      <c r="E30" s="17">
        <f>SUM(E16:E29)</f>
        <v>0</v>
      </c>
      <c r="F30" s="5">
        <f>SUM(F16:F29)</f>
        <v>0</v>
      </c>
      <c r="G30" s="23" t="s">
        <v>164</v>
      </c>
    </row>
    <row r="31" spans="1:7" ht="12.75" x14ac:dyDescent="0.2">
      <c r="A31" s="1"/>
      <c r="B31" s="1"/>
      <c r="C31" s="1"/>
      <c r="D31" s="16" t="s">
        <v>11</v>
      </c>
      <c r="E31" s="45">
        <f>F30</f>
        <v>0</v>
      </c>
      <c r="F31" s="42"/>
      <c r="G31" s="19">
        <f>MIN(E31,K15)</f>
        <v>0</v>
      </c>
    </row>
    <row r="32" spans="1:7" ht="12.75" x14ac:dyDescent="0.2">
      <c r="A32" s="1"/>
      <c r="B32" s="1"/>
      <c r="C32" s="1"/>
      <c r="D32" s="1"/>
      <c r="E32" s="1"/>
      <c r="F32" s="1"/>
      <c r="G32" s="1"/>
    </row>
    <row r="33" spans="1:11" ht="12.75" x14ac:dyDescent="0.2">
      <c r="A33" s="1" t="s">
        <v>165</v>
      </c>
      <c r="B33" s="39" t="s">
        <v>201</v>
      </c>
      <c r="C33" s="37"/>
      <c r="D33" s="37"/>
      <c r="E33" s="37"/>
      <c r="F33" s="37"/>
      <c r="G33" s="37"/>
    </row>
    <row r="35" spans="1:11" ht="12.75" x14ac:dyDescent="0.2">
      <c r="B35" s="12" t="s">
        <v>146</v>
      </c>
      <c r="C35" s="12" t="s">
        <v>197</v>
      </c>
      <c r="D35" s="12" t="s">
        <v>148</v>
      </c>
      <c r="E35" s="12" t="s">
        <v>149</v>
      </c>
      <c r="F35" s="12" t="s">
        <v>202</v>
      </c>
      <c r="G35" s="12" t="s">
        <v>151</v>
      </c>
      <c r="J35" s="13" t="s">
        <v>152</v>
      </c>
      <c r="K35" s="5">
        <f>15</f>
        <v>15</v>
      </c>
    </row>
    <row r="36" spans="1:11" ht="12.75" x14ac:dyDescent="0.2">
      <c r="B36" s="5">
        <v>1</v>
      </c>
      <c r="C36" s="5" t="str">
        <f t="shared" ref="C36:E40" si="3">IF(C5="","",C5)</f>
        <v/>
      </c>
      <c r="D36" s="24" t="str">
        <f t="shared" si="3"/>
        <v/>
      </c>
      <c r="E36" s="25" t="str">
        <f t="shared" si="3"/>
        <v/>
      </c>
      <c r="F36" s="14" t="str">
        <f>IF(E36="","",ROUND(E36/3,2))</f>
        <v/>
      </c>
      <c r="G36" s="5" t="str">
        <f t="shared" ref="G36:G40" si="4">"2026-27"</f>
        <v>2026-27</v>
      </c>
    </row>
    <row r="37" spans="1:11" ht="12.75" x14ac:dyDescent="0.2">
      <c r="B37" s="5">
        <v>2</v>
      </c>
      <c r="C37" s="5" t="str">
        <f t="shared" si="3"/>
        <v/>
      </c>
      <c r="D37" s="24" t="str">
        <f t="shared" si="3"/>
        <v/>
      </c>
      <c r="E37" s="25" t="str">
        <f t="shared" si="3"/>
        <v/>
      </c>
      <c r="F37" s="14" t="str">
        <f>IF(E37="","",ROUND(E37/3,2))</f>
        <v/>
      </c>
      <c r="G37" s="5" t="str">
        <f t="shared" si="4"/>
        <v>2026-27</v>
      </c>
    </row>
    <row r="38" spans="1:11" ht="12.75" x14ac:dyDescent="0.2">
      <c r="B38" s="5">
        <v>3</v>
      </c>
      <c r="C38" s="5" t="str">
        <f t="shared" si="3"/>
        <v/>
      </c>
      <c r="D38" s="24" t="str">
        <f t="shared" si="3"/>
        <v/>
      </c>
      <c r="E38" s="25" t="str">
        <f t="shared" si="3"/>
        <v/>
      </c>
      <c r="F38" s="14" t="str">
        <f>IF(E38="","",ROUND(E38/3,2))</f>
        <v/>
      </c>
      <c r="G38" s="5" t="str">
        <f t="shared" si="4"/>
        <v>2026-27</v>
      </c>
    </row>
    <row r="39" spans="1:11" ht="12.75" x14ac:dyDescent="0.2">
      <c r="B39" s="5">
        <v>4</v>
      </c>
      <c r="C39" s="5" t="str">
        <f t="shared" si="3"/>
        <v/>
      </c>
      <c r="D39" s="24" t="str">
        <f t="shared" si="3"/>
        <v/>
      </c>
      <c r="E39" s="25" t="str">
        <f t="shared" si="3"/>
        <v/>
      </c>
      <c r="F39" s="14" t="str">
        <f>IF(E39="","",ROUND(E39/3,2))</f>
        <v/>
      </c>
      <c r="G39" s="5" t="str">
        <f t="shared" si="4"/>
        <v>2026-27</v>
      </c>
    </row>
    <row r="40" spans="1:11" ht="12.75" x14ac:dyDescent="0.2">
      <c r="B40" s="5">
        <v>5</v>
      </c>
      <c r="C40" s="5" t="str">
        <f t="shared" si="3"/>
        <v/>
      </c>
      <c r="D40" s="24" t="str">
        <f t="shared" si="3"/>
        <v/>
      </c>
      <c r="E40" s="25" t="str">
        <f t="shared" si="3"/>
        <v/>
      </c>
      <c r="F40" s="14" t="str">
        <f>IF(E40="","",ROUND(E40/3,2))</f>
        <v/>
      </c>
      <c r="G40" s="5" t="str">
        <f t="shared" si="4"/>
        <v>2026-27</v>
      </c>
      <c r="J40" s="26"/>
    </row>
    <row r="41" spans="1:11" ht="12.75" x14ac:dyDescent="0.2">
      <c r="B41" s="15"/>
      <c r="D41" s="1"/>
      <c r="E41" s="17" t="s">
        <v>154</v>
      </c>
      <c r="F41" s="27">
        <f>SUM(F36:F40)</f>
        <v>0</v>
      </c>
      <c r="G41" s="19" t="s">
        <v>166</v>
      </c>
    </row>
    <row r="42" spans="1:11" ht="12.75" x14ac:dyDescent="0.2">
      <c r="B42" s="15"/>
      <c r="C42" s="15"/>
      <c r="D42" s="15"/>
      <c r="E42" s="28" t="s">
        <v>21</v>
      </c>
      <c r="F42" s="29">
        <f>ROUND(F41/10,2)</f>
        <v>0</v>
      </c>
      <c r="G42" s="21">
        <f>MIN(F42,K35)</f>
        <v>0</v>
      </c>
    </row>
    <row r="44" spans="1:11" ht="12.75" x14ac:dyDescent="0.2">
      <c r="B44" s="4" t="s">
        <v>21</v>
      </c>
      <c r="C44" s="4" t="s">
        <v>22</v>
      </c>
      <c r="D44" s="4" t="s">
        <v>23</v>
      </c>
      <c r="E44" s="30" t="s">
        <v>167</v>
      </c>
    </row>
    <row r="45" spans="1:11" ht="12.75" x14ac:dyDescent="0.2">
      <c r="B45" s="14">
        <f>H11</f>
        <v>0</v>
      </c>
      <c r="C45" s="5">
        <f>G31</f>
        <v>0</v>
      </c>
      <c r="D45" s="14">
        <f>G42</f>
        <v>0</v>
      </c>
      <c r="E45" s="14">
        <f>SUM(B45:D45)</f>
        <v>0</v>
      </c>
    </row>
    <row r="47" spans="1:11" ht="20.25" x14ac:dyDescent="0.3">
      <c r="A47" s="38" t="s">
        <v>14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2.75" x14ac:dyDescent="0.2">
      <c r="A48" s="1" t="s">
        <v>144</v>
      </c>
      <c r="B48" s="1" t="s">
        <v>168</v>
      </c>
    </row>
    <row r="49" spans="1:11" ht="12.75" x14ac:dyDescent="0.2">
      <c r="A49" s="2"/>
      <c r="B49" s="2"/>
    </row>
    <row r="50" spans="1:11" ht="12.75" x14ac:dyDescent="0.2">
      <c r="A50" s="2"/>
      <c r="B50" s="12" t="s">
        <v>146</v>
      </c>
      <c r="C50" s="12" t="s">
        <v>169</v>
      </c>
      <c r="D50" s="12" t="s">
        <v>170</v>
      </c>
      <c r="E50" s="12" t="s">
        <v>46</v>
      </c>
      <c r="F50" s="12" t="s">
        <v>171</v>
      </c>
      <c r="G50" s="12" t="s">
        <v>151</v>
      </c>
      <c r="J50" s="13" t="s">
        <v>152</v>
      </c>
      <c r="K50" s="5">
        <v>15</v>
      </c>
    </row>
    <row r="51" spans="1:11" ht="12.75" x14ac:dyDescent="0.2">
      <c r="A51" s="2"/>
      <c r="B51" s="5">
        <v>1</v>
      </c>
      <c r="C51" s="5"/>
      <c r="D51" s="4"/>
      <c r="E51" s="5" t="str">
        <f>IFERROR(VLOOKUP(D51,Cat2A[],2,FALSE),"")</f>
        <v/>
      </c>
      <c r="F51" s="5" t="str">
        <f>IF(E51="","",E51/10)</f>
        <v/>
      </c>
      <c r="G51" s="5" t="str">
        <f t="shared" ref="G51:G71" si="5">"2026-27"</f>
        <v>2026-27</v>
      </c>
    </row>
    <row r="52" spans="1:11" ht="12.75" x14ac:dyDescent="0.2">
      <c r="A52" s="2"/>
      <c r="B52" s="5">
        <v>2</v>
      </c>
      <c r="C52" s="5"/>
      <c r="D52" s="4"/>
      <c r="E52" s="5" t="str">
        <f>IFERROR(VLOOKUP(D52,Cat2A[],2,FALSE),"")</f>
        <v/>
      </c>
      <c r="F52" s="5" t="str">
        <f>IF(E52="","",E52/10)</f>
        <v/>
      </c>
      <c r="G52" s="5" t="str">
        <f t="shared" si="5"/>
        <v>2026-27</v>
      </c>
    </row>
    <row r="53" spans="1:11" ht="12.75" x14ac:dyDescent="0.2">
      <c r="A53" s="2"/>
      <c r="B53" s="5">
        <v>3</v>
      </c>
      <c r="C53" s="5"/>
      <c r="D53" s="4"/>
      <c r="E53" s="5" t="str">
        <f>IFERROR(VLOOKUP(D53,Cat2A[],2,FALSE),"")</f>
        <v/>
      </c>
      <c r="F53" s="5" t="str">
        <f>IF(E53="","",E53/10)</f>
        <v/>
      </c>
      <c r="G53" s="5" t="str">
        <f t="shared" si="5"/>
        <v>2026-27</v>
      </c>
    </row>
    <row r="54" spans="1:11" ht="12.75" x14ac:dyDescent="0.2">
      <c r="A54" s="2"/>
      <c r="B54" s="5">
        <v>4</v>
      </c>
      <c r="C54" s="5"/>
      <c r="D54" s="4"/>
      <c r="E54" s="5" t="str">
        <f>IFERROR(VLOOKUP(D54,Cat2A[],2,FALSE),"")</f>
        <v/>
      </c>
      <c r="F54" s="5" t="str">
        <f>IF(E54="","",E54/10)</f>
        <v/>
      </c>
      <c r="G54" s="5" t="str">
        <f t="shared" si="5"/>
        <v>2026-27</v>
      </c>
    </row>
    <row r="55" spans="1:11" ht="12.75" x14ac:dyDescent="0.2">
      <c r="A55" s="2"/>
      <c r="B55" s="5">
        <v>5</v>
      </c>
      <c r="C55" s="5"/>
      <c r="D55" s="4"/>
      <c r="E55" s="5" t="str">
        <f>IFERROR(VLOOKUP(D55,Cat2A[],2,FALSE),"")</f>
        <v/>
      </c>
      <c r="F55" s="5" t="str">
        <f>IF(E55="","",E55/10)</f>
        <v/>
      </c>
      <c r="G55" s="5" t="str">
        <f t="shared" si="5"/>
        <v>2026-27</v>
      </c>
    </row>
    <row r="56" spans="1:11" ht="12.75" x14ac:dyDescent="0.2">
      <c r="A56" s="2"/>
      <c r="B56" s="5">
        <v>6</v>
      </c>
      <c r="C56" s="5"/>
      <c r="D56" s="4"/>
      <c r="E56" s="5" t="str">
        <f>IFERROR(VLOOKUP(D56,Cat2A[],2,FALSE),"")</f>
        <v/>
      </c>
      <c r="F56" s="5" t="str">
        <f>IF(E56="","",E56/10)</f>
        <v/>
      </c>
      <c r="G56" s="5" t="str">
        <f t="shared" si="5"/>
        <v>2026-27</v>
      </c>
    </row>
    <row r="57" spans="1:11" ht="12.75" x14ac:dyDescent="0.2">
      <c r="A57" s="2"/>
      <c r="B57" s="5">
        <v>7</v>
      </c>
      <c r="C57" s="5"/>
      <c r="D57" s="4"/>
      <c r="E57" s="5" t="str">
        <f>IFERROR(VLOOKUP(D57,Cat2A[],2,FALSE),"")</f>
        <v/>
      </c>
      <c r="F57" s="5" t="str">
        <f>IF(E57="","",E57/10)</f>
        <v/>
      </c>
      <c r="G57" s="5" t="str">
        <f t="shared" si="5"/>
        <v>2026-27</v>
      </c>
    </row>
    <row r="58" spans="1:11" ht="12.75" x14ac:dyDescent="0.2">
      <c r="A58" s="2"/>
      <c r="B58" s="5">
        <v>8</v>
      </c>
      <c r="C58" s="5"/>
      <c r="D58" s="4"/>
      <c r="E58" s="5" t="str">
        <f>IFERROR(VLOOKUP(D58,Cat2A[],2,FALSE),"")</f>
        <v/>
      </c>
      <c r="F58" s="5" t="str">
        <f>IF(E58="","",E58/10)</f>
        <v/>
      </c>
      <c r="G58" s="5" t="str">
        <f t="shared" si="5"/>
        <v>2026-27</v>
      </c>
    </row>
    <row r="59" spans="1:11" ht="12.75" x14ac:dyDescent="0.2">
      <c r="A59" s="2"/>
      <c r="B59" s="5">
        <v>9</v>
      </c>
      <c r="C59" s="5"/>
      <c r="D59" s="4"/>
      <c r="E59" s="5" t="str">
        <f>IFERROR(VLOOKUP(D59,Cat2A[],2,FALSE),"")</f>
        <v/>
      </c>
      <c r="F59" s="5" t="str">
        <f>IF(E59="","",E59/10)</f>
        <v/>
      </c>
      <c r="G59" s="5" t="str">
        <f t="shared" si="5"/>
        <v>2026-27</v>
      </c>
    </row>
    <row r="60" spans="1:11" ht="12.75" x14ac:dyDescent="0.2">
      <c r="A60" s="2"/>
      <c r="B60" s="5">
        <v>10</v>
      </c>
      <c r="C60" s="5"/>
      <c r="D60" s="4"/>
      <c r="E60" s="5" t="str">
        <f>IFERROR(VLOOKUP(D60,Cat2A[],2,FALSE),"")</f>
        <v/>
      </c>
      <c r="F60" s="5" t="str">
        <f>IF(E60="","",E60/10)</f>
        <v/>
      </c>
      <c r="G60" s="5" t="str">
        <f t="shared" si="5"/>
        <v>2026-27</v>
      </c>
    </row>
    <row r="61" spans="1:11" ht="12.75" x14ac:dyDescent="0.2">
      <c r="A61" s="2"/>
      <c r="B61" s="5">
        <v>11</v>
      </c>
      <c r="C61" s="5"/>
      <c r="D61" s="4"/>
      <c r="E61" s="5" t="str">
        <f>IFERROR(VLOOKUP(D61,Cat2A[],2,FALSE),"")</f>
        <v/>
      </c>
      <c r="F61" s="5" t="str">
        <f>IF(E61="","",E61/10)</f>
        <v/>
      </c>
      <c r="G61" s="5" t="str">
        <f t="shared" si="5"/>
        <v>2026-27</v>
      </c>
    </row>
    <row r="62" spans="1:11" ht="12.75" x14ac:dyDescent="0.2">
      <c r="A62" s="2"/>
      <c r="B62" s="5">
        <v>12</v>
      </c>
      <c r="C62" s="5"/>
      <c r="D62" s="4"/>
      <c r="E62" s="5" t="str">
        <f>IFERROR(VLOOKUP(D62,Cat2A[],2,FALSE),"")</f>
        <v/>
      </c>
      <c r="F62" s="5" t="str">
        <f>IF(E62="","",E62/10)</f>
        <v/>
      </c>
      <c r="G62" s="5" t="str">
        <f t="shared" si="5"/>
        <v>2026-27</v>
      </c>
    </row>
    <row r="63" spans="1:11" ht="12.75" x14ac:dyDescent="0.2">
      <c r="A63" s="2"/>
      <c r="B63" s="5">
        <v>13</v>
      </c>
      <c r="C63" s="5"/>
      <c r="D63" s="4"/>
      <c r="E63" s="5" t="str">
        <f>IFERROR(VLOOKUP(D63,Cat2A[],2,FALSE),"")</f>
        <v/>
      </c>
      <c r="F63" s="5" t="str">
        <f>IF(E63="","",E63/10)</f>
        <v/>
      </c>
      <c r="G63" s="5" t="str">
        <f t="shared" si="5"/>
        <v>2026-27</v>
      </c>
    </row>
    <row r="64" spans="1:11" ht="12.75" x14ac:dyDescent="0.2">
      <c r="A64" s="2"/>
      <c r="B64" s="5">
        <v>14</v>
      </c>
      <c r="C64" s="5"/>
      <c r="D64" s="4"/>
      <c r="E64" s="5" t="str">
        <f>IFERROR(VLOOKUP(D64,Cat2A[],2,FALSE),"")</f>
        <v/>
      </c>
      <c r="F64" s="5" t="str">
        <f>IF(E64="","",E64/10)</f>
        <v/>
      </c>
      <c r="G64" s="5" t="str">
        <f t="shared" si="5"/>
        <v>2026-27</v>
      </c>
    </row>
    <row r="65" spans="1:11" ht="12.75" x14ac:dyDescent="0.2">
      <c r="A65" s="2"/>
      <c r="B65" s="5">
        <v>15</v>
      </c>
      <c r="C65" s="5"/>
      <c r="D65" s="4"/>
      <c r="E65" s="5" t="str">
        <f>IFERROR(VLOOKUP(D65,Cat2A[],2,FALSE),"")</f>
        <v/>
      </c>
      <c r="F65" s="5" t="str">
        <f>IF(E65="","",E65/10)</f>
        <v/>
      </c>
      <c r="G65" s="5" t="str">
        <f t="shared" si="5"/>
        <v>2026-27</v>
      </c>
    </row>
    <row r="66" spans="1:11" ht="12.75" x14ac:dyDescent="0.2">
      <c r="A66" s="2"/>
      <c r="B66" s="5">
        <v>16</v>
      </c>
      <c r="C66" s="5"/>
      <c r="D66" s="4"/>
      <c r="E66" s="5" t="str">
        <f>IFERROR(VLOOKUP(D66,Cat2A[],2,FALSE),"")</f>
        <v/>
      </c>
      <c r="F66" s="5" t="str">
        <f>IF(E66="","",E66/10)</f>
        <v/>
      </c>
      <c r="G66" s="5" t="str">
        <f t="shared" si="5"/>
        <v>2026-27</v>
      </c>
    </row>
    <row r="67" spans="1:11" ht="12.75" x14ac:dyDescent="0.2">
      <c r="A67" s="2"/>
      <c r="B67" s="5">
        <v>17</v>
      </c>
      <c r="C67" s="5"/>
      <c r="D67" s="4"/>
      <c r="E67" s="5" t="str">
        <f>IFERROR(VLOOKUP(D67,Cat2A[],2,FALSE),"")</f>
        <v/>
      </c>
      <c r="F67" s="5" t="str">
        <f>IF(E67="","",E67/10)</f>
        <v/>
      </c>
      <c r="G67" s="5" t="str">
        <f t="shared" si="5"/>
        <v>2026-27</v>
      </c>
    </row>
    <row r="68" spans="1:11" ht="12.75" x14ac:dyDescent="0.2">
      <c r="A68" s="2"/>
      <c r="B68" s="5">
        <v>18</v>
      </c>
      <c r="C68" s="5"/>
      <c r="D68" s="4"/>
      <c r="E68" s="5" t="str">
        <f>IFERROR(VLOOKUP(D68,Cat2A[],2,FALSE),"")</f>
        <v/>
      </c>
      <c r="F68" s="5" t="str">
        <f>IF(E68="","",E68/10)</f>
        <v/>
      </c>
      <c r="G68" s="5" t="str">
        <f t="shared" si="5"/>
        <v>2026-27</v>
      </c>
    </row>
    <row r="69" spans="1:11" ht="12.75" x14ac:dyDescent="0.2">
      <c r="A69" s="2"/>
      <c r="B69" s="5">
        <v>19</v>
      </c>
      <c r="C69" s="5"/>
      <c r="D69" s="4"/>
      <c r="E69" s="5" t="str">
        <f>IFERROR(VLOOKUP(D69,Cat2A[],2,FALSE),"")</f>
        <v/>
      </c>
      <c r="F69" s="5" t="str">
        <f>IF(E69="","",E69/10)</f>
        <v/>
      </c>
      <c r="G69" s="5" t="str">
        <f t="shared" si="5"/>
        <v>2026-27</v>
      </c>
    </row>
    <row r="70" spans="1:11" ht="12.75" x14ac:dyDescent="0.2">
      <c r="A70" s="2"/>
      <c r="B70" s="5">
        <v>20</v>
      </c>
      <c r="C70" s="5"/>
      <c r="D70" s="4"/>
      <c r="E70" s="5" t="str">
        <f>IFERROR(VLOOKUP(D70,Cat2A[],2,FALSE),"")</f>
        <v/>
      </c>
      <c r="F70" s="5" t="str">
        <f>IF(E70="","",E70/10)</f>
        <v/>
      </c>
      <c r="G70" s="5" t="str">
        <f t="shared" si="5"/>
        <v>2026-27</v>
      </c>
    </row>
    <row r="71" spans="1:11" ht="12.75" x14ac:dyDescent="0.2">
      <c r="A71" s="2"/>
      <c r="B71" s="5">
        <v>21</v>
      </c>
      <c r="C71" s="5"/>
      <c r="D71" s="4"/>
      <c r="E71" s="5" t="str">
        <f>IFERROR(VLOOKUP(D71,Cat2A[],2,FALSE),"")</f>
        <v/>
      </c>
      <c r="F71" s="5" t="str">
        <f>IF(E71="","",E71/10)</f>
        <v/>
      </c>
      <c r="G71" s="5" t="str">
        <f t="shared" si="5"/>
        <v>2026-27</v>
      </c>
    </row>
    <row r="72" spans="1:11" ht="12.75" x14ac:dyDescent="0.2">
      <c r="A72" s="2"/>
      <c r="B72" s="2"/>
      <c r="D72" s="13" t="s">
        <v>163</v>
      </c>
      <c r="E72" s="4">
        <f t="shared" ref="E72:F72" si="6">SUM(E51:E71)</f>
        <v>0</v>
      </c>
      <c r="F72" s="4">
        <f t="shared" si="6"/>
        <v>0</v>
      </c>
      <c r="G72" s="31" t="s">
        <v>172</v>
      </c>
    </row>
    <row r="73" spans="1:11" ht="12.75" x14ac:dyDescent="0.2">
      <c r="A73" s="2"/>
      <c r="B73" s="2"/>
      <c r="D73" s="13" t="s">
        <v>15</v>
      </c>
      <c r="E73" s="46">
        <f>F72</f>
        <v>0</v>
      </c>
      <c r="F73" s="42"/>
      <c r="G73" s="31">
        <f>MIN(E73,K50)</f>
        <v>0</v>
      </c>
    </row>
    <row r="74" spans="1:11" ht="12.75" x14ac:dyDescent="0.2">
      <c r="A74" s="2"/>
      <c r="B74" s="2"/>
    </row>
    <row r="75" spans="1:11" ht="12.75" x14ac:dyDescent="0.2">
      <c r="A75" s="1" t="s">
        <v>156</v>
      </c>
      <c r="B75" s="1" t="s">
        <v>173</v>
      </c>
    </row>
    <row r="76" spans="1:11" ht="12.75" x14ac:dyDescent="0.2">
      <c r="A76" s="2"/>
      <c r="B76" s="2"/>
    </row>
    <row r="77" spans="1:11" ht="12.75" x14ac:dyDescent="0.2">
      <c r="A77" s="1"/>
      <c r="B77" s="12" t="s">
        <v>146</v>
      </c>
      <c r="C77" s="12" t="s">
        <v>169</v>
      </c>
      <c r="D77" s="12" t="s">
        <v>174</v>
      </c>
      <c r="E77" s="32" t="s">
        <v>175</v>
      </c>
      <c r="F77" s="12" t="s">
        <v>46</v>
      </c>
      <c r="G77" s="12" t="s">
        <v>171</v>
      </c>
      <c r="H77" s="12" t="s">
        <v>151</v>
      </c>
      <c r="J77" s="13" t="s">
        <v>152</v>
      </c>
      <c r="K77" s="5">
        <v>15</v>
      </c>
    </row>
    <row r="78" spans="1:11" ht="12.75" x14ac:dyDescent="0.2">
      <c r="A78" s="1"/>
      <c r="B78" s="5">
        <v>1</v>
      </c>
      <c r="C78" s="5"/>
      <c r="D78" s="4"/>
      <c r="E78" s="5"/>
      <c r="F78" s="5" t="str">
        <f>IF(OR(D78="",E78=""),"",E78*IFERROR(VLOOKUP(D78,Cat2B[],2,FALSE),""))</f>
        <v/>
      </c>
      <c r="G78" s="5" t="str">
        <f>IF(F78="","",F78/10)</f>
        <v/>
      </c>
      <c r="H78" s="5" t="str">
        <f t="shared" ref="H78:H87" si="7">"2026-27"</f>
        <v>2026-27</v>
      </c>
      <c r="I78" s="2"/>
    </row>
    <row r="79" spans="1:11" ht="12.75" x14ac:dyDescent="0.2">
      <c r="A79" s="1"/>
      <c r="B79" s="5">
        <v>2</v>
      </c>
      <c r="C79" s="5"/>
      <c r="D79" s="4"/>
      <c r="E79" s="5"/>
      <c r="F79" s="5" t="str">
        <f>IF(OR(D79="",E79=""),"",E79*IFERROR(VLOOKUP(D79,Cat2B[],2,FALSE),""))</f>
        <v/>
      </c>
      <c r="G79" s="5" t="str">
        <f>IF(F79="","",F79/10)</f>
        <v/>
      </c>
      <c r="H79" s="5" t="str">
        <f t="shared" si="7"/>
        <v>2026-27</v>
      </c>
      <c r="I79" s="2"/>
    </row>
    <row r="80" spans="1:11" ht="12.75" x14ac:dyDescent="0.2">
      <c r="A80" s="1"/>
      <c r="B80" s="5">
        <v>3</v>
      </c>
      <c r="C80" s="5"/>
      <c r="D80" s="4"/>
      <c r="E80" s="5"/>
      <c r="F80" s="5" t="str">
        <f>IF(OR(D80="",E80=""),"",E80*IFERROR(VLOOKUP(D80,Cat2B[],2,FALSE),""))</f>
        <v/>
      </c>
      <c r="G80" s="5" t="str">
        <f>IF(F80="","",F80/10)</f>
        <v/>
      </c>
      <c r="H80" s="5" t="str">
        <f t="shared" si="7"/>
        <v>2026-27</v>
      </c>
      <c r="I80" s="2"/>
    </row>
    <row r="81" spans="1:11" ht="12.75" x14ac:dyDescent="0.2">
      <c r="A81" s="1"/>
      <c r="B81" s="5">
        <v>4</v>
      </c>
      <c r="C81" s="5"/>
      <c r="D81" s="4"/>
      <c r="E81" s="5"/>
      <c r="F81" s="5" t="str">
        <f>IF(OR(D81="",E81=""),"",E81*IFERROR(VLOOKUP(D81,Cat2B[],2,FALSE),""))</f>
        <v/>
      </c>
      <c r="G81" s="5" t="str">
        <f>IF(F81="","",F81/10)</f>
        <v/>
      </c>
      <c r="H81" s="5" t="str">
        <f t="shared" si="7"/>
        <v>2026-27</v>
      </c>
      <c r="I81" s="2"/>
    </row>
    <row r="82" spans="1:11" ht="12.75" x14ac:dyDescent="0.2">
      <c r="A82" s="1"/>
      <c r="B82" s="5">
        <v>5</v>
      </c>
      <c r="C82" s="5"/>
      <c r="D82" s="4"/>
      <c r="E82" s="5"/>
      <c r="F82" s="5" t="str">
        <f>IF(OR(D82="",E82=""),"",E82*IFERROR(VLOOKUP(D82,Cat2B[],2,FALSE),""))</f>
        <v/>
      </c>
      <c r="G82" s="5" t="str">
        <f>IF(F82="","",F82/10)</f>
        <v/>
      </c>
      <c r="H82" s="5" t="str">
        <f t="shared" si="7"/>
        <v>2026-27</v>
      </c>
      <c r="I82" s="2"/>
    </row>
    <row r="83" spans="1:11" ht="12.75" x14ac:dyDescent="0.2">
      <c r="A83" s="1"/>
      <c r="B83" s="5">
        <v>6</v>
      </c>
      <c r="C83" s="5"/>
      <c r="D83" s="4"/>
      <c r="E83" s="5"/>
      <c r="F83" s="5" t="str">
        <f>IF(OR(D83="",E83=""),"",E83*IFERROR(VLOOKUP(D83,Cat2B[],2,FALSE),""))</f>
        <v/>
      </c>
      <c r="G83" s="5" t="str">
        <f>IF(F83="","",F83/10)</f>
        <v/>
      </c>
      <c r="H83" s="5" t="str">
        <f t="shared" si="7"/>
        <v>2026-27</v>
      </c>
      <c r="I83" s="2"/>
    </row>
    <row r="84" spans="1:11" ht="12.75" x14ac:dyDescent="0.2">
      <c r="A84" s="1"/>
      <c r="B84" s="5">
        <v>7</v>
      </c>
      <c r="C84" s="5"/>
      <c r="D84" s="4"/>
      <c r="E84" s="5"/>
      <c r="F84" s="5" t="str">
        <f>IF(OR(D84="",E84=""),"",E84*IFERROR(VLOOKUP(D84,Cat2B[],2,FALSE),""))</f>
        <v/>
      </c>
      <c r="G84" s="5" t="str">
        <f>IF(F84="","",F84/10)</f>
        <v/>
      </c>
      <c r="H84" s="5" t="str">
        <f t="shared" si="7"/>
        <v>2026-27</v>
      </c>
      <c r="I84" s="2"/>
    </row>
    <row r="85" spans="1:11" ht="12.75" x14ac:dyDescent="0.2">
      <c r="A85" s="1"/>
      <c r="B85" s="5">
        <v>8</v>
      </c>
      <c r="C85" s="5"/>
      <c r="D85" s="4"/>
      <c r="E85" s="5"/>
      <c r="F85" s="5" t="str">
        <f>IF(OR(D85="",E85=""),"",E85*IFERROR(VLOOKUP(D85,Cat2B[],2,FALSE),""))</f>
        <v/>
      </c>
      <c r="G85" s="5" t="str">
        <f>IF(F85="","",F85/10)</f>
        <v/>
      </c>
      <c r="H85" s="5" t="str">
        <f t="shared" si="7"/>
        <v>2026-27</v>
      </c>
      <c r="I85" s="2"/>
    </row>
    <row r="86" spans="1:11" ht="12.75" x14ac:dyDescent="0.2">
      <c r="A86" s="1"/>
      <c r="B86" s="5">
        <v>9</v>
      </c>
      <c r="C86" s="5"/>
      <c r="D86" s="4"/>
      <c r="E86" s="5"/>
      <c r="F86" s="5" t="str">
        <f>IF(OR(D86="",E86=""),"",E86*IFERROR(VLOOKUP(D86,Cat2B[],2,FALSE),""))</f>
        <v/>
      </c>
      <c r="G86" s="5" t="str">
        <f>IF(F86="","",F86/10)</f>
        <v/>
      </c>
      <c r="H86" s="5" t="str">
        <f t="shared" si="7"/>
        <v>2026-27</v>
      </c>
      <c r="I86" s="2"/>
    </row>
    <row r="87" spans="1:11" ht="12.75" x14ac:dyDescent="0.2">
      <c r="A87" s="1"/>
      <c r="B87" s="5">
        <v>10</v>
      </c>
      <c r="C87" s="5"/>
      <c r="D87" s="4"/>
      <c r="E87" s="5"/>
      <c r="F87" s="5" t="str">
        <f>IF(OR(D87="",E87=""),"",E87*IFERROR(VLOOKUP(D87,Cat2B[],2,FALSE),""))</f>
        <v/>
      </c>
      <c r="G87" s="5" t="str">
        <f>IF(F87="","",F87/10)</f>
        <v/>
      </c>
      <c r="H87" s="5" t="str">
        <f t="shared" si="7"/>
        <v>2026-27</v>
      </c>
      <c r="I87" s="2"/>
    </row>
    <row r="88" spans="1:11" ht="12.75" x14ac:dyDescent="0.2">
      <c r="A88" s="1"/>
      <c r="B88" s="2"/>
      <c r="D88" s="13" t="s">
        <v>163</v>
      </c>
      <c r="E88" s="33" t="s">
        <v>29</v>
      </c>
      <c r="F88" s="4">
        <f t="shared" ref="F88:G88" si="8">SUM(F78:F87)</f>
        <v>0</v>
      </c>
      <c r="G88" s="4">
        <f t="shared" si="8"/>
        <v>0</v>
      </c>
      <c r="H88" s="31" t="s">
        <v>176</v>
      </c>
      <c r="I88" s="2"/>
    </row>
    <row r="89" spans="1:11" ht="12.75" x14ac:dyDescent="0.2">
      <c r="A89" s="1"/>
      <c r="B89" s="1"/>
      <c r="D89" s="13" t="s">
        <v>25</v>
      </c>
      <c r="E89" s="46">
        <f>G88</f>
        <v>0</v>
      </c>
      <c r="F89" s="41"/>
      <c r="G89" s="42"/>
      <c r="H89" s="31">
        <f>MIN(G88,K77)</f>
        <v>0</v>
      </c>
    </row>
    <row r="90" spans="1:11" ht="12.75" x14ac:dyDescent="0.2">
      <c r="A90" s="1"/>
      <c r="B90" s="1"/>
    </row>
    <row r="91" spans="1:11" ht="12.75" x14ac:dyDescent="0.2">
      <c r="A91" s="1"/>
      <c r="B91" s="1"/>
    </row>
    <row r="92" spans="1:11" ht="12.75" x14ac:dyDescent="0.2">
      <c r="A92" s="1" t="s">
        <v>165</v>
      </c>
      <c r="B92" s="1" t="s">
        <v>177</v>
      </c>
    </row>
    <row r="94" spans="1:11" ht="12.75" x14ac:dyDescent="0.2">
      <c r="B94" s="12" t="s">
        <v>146</v>
      </c>
      <c r="C94" s="12" t="s">
        <v>169</v>
      </c>
      <c r="D94" s="12" t="s">
        <v>178</v>
      </c>
      <c r="E94" s="12" t="s">
        <v>46</v>
      </c>
      <c r="F94" s="12" t="s">
        <v>171</v>
      </c>
      <c r="G94" s="12" t="s">
        <v>151</v>
      </c>
      <c r="J94" s="13" t="s">
        <v>152</v>
      </c>
      <c r="K94" s="5">
        <v>15</v>
      </c>
    </row>
    <row r="95" spans="1:11" ht="12.75" x14ac:dyDescent="0.2">
      <c r="B95" s="5">
        <v>1</v>
      </c>
      <c r="C95" s="5"/>
      <c r="D95" s="4"/>
      <c r="E95" s="5" t="str">
        <f>IFERROR(VLOOKUP(D95,Cat2C[],2,FALSE),"")</f>
        <v/>
      </c>
      <c r="F95" s="5" t="str">
        <f>IF(E95="","",E95/10)</f>
        <v/>
      </c>
      <c r="G95" s="5" t="str">
        <f t="shared" ref="G95:G102" si="9">"2026-27"</f>
        <v>2026-27</v>
      </c>
    </row>
    <row r="96" spans="1:11" ht="12.75" x14ac:dyDescent="0.2">
      <c r="B96" s="5">
        <v>2</v>
      </c>
      <c r="C96" s="5"/>
      <c r="D96" s="4"/>
      <c r="E96" s="5" t="str">
        <f>IFERROR(VLOOKUP(D96,Cat2C[],2,FALSE),"")</f>
        <v/>
      </c>
      <c r="F96" s="5" t="str">
        <f>IF(E96="","",E96/10)</f>
        <v/>
      </c>
      <c r="G96" s="5" t="str">
        <f t="shared" si="9"/>
        <v>2026-27</v>
      </c>
    </row>
    <row r="97" spans="1:11" ht="12.75" x14ac:dyDescent="0.2">
      <c r="B97" s="5">
        <v>3</v>
      </c>
      <c r="C97" s="5"/>
      <c r="D97" s="4"/>
      <c r="E97" s="5" t="str">
        <f>IFERROR(VLOOKUP(D97,Cat2C[],2,FALSE),"")</f>
        <v/>
      </c>
      <c r="F97" s="5" t="str">
        <f>IF(E97="","",E97/10)</f>
        <v/>
      </c>
      <c r="G97" s="5" t="str">
        <f t="shared" si="9"/>
        <v>2026-27</v>
      </c>
    </row>
    <row r="98" spans="1:11" ht="12.75" x14ac:dyDescent="0.2">
      <c r="B98" s="5">
        <v>4</v>
      </c>
      <c r="C98" s="5"/>
      <c r="D98" s="4"/>
      <c r="E98" s="5" t="str">
        <f>IFERROR(VLOOKUP(D98,Cat2C[],2,FALSE),"")</f>
        <v/>
      </c>
      <c r="F98" s="5" t="str">
        <f>IF(E98="","",E98/10)</f>
        <v/>
      </c>
      <c r="G98" s="5" t="str">
        <f t="shared" si="9"/>
        <v>2026-27</v>
      </c>
    </row>
    <row r="99" spans="1:11" ht="12.75" x14ac:dyDescent="0.2">
      <c r="B99" s="5">
        <v>5</v>
      </c>
      <c r="C99" s="5"/>
      <c r="D99" s="4"/>
      <c r="E99" s="5" t="str">
        <f>IFERROR(VLOOKUP(D99,Cat2C[],2,FALSE),"")</f>
        <v/>
      </c>
      <c r="F99" s="5" t="str">
        <f>IF(E99="","",E99/10)</f>
        <v/>
      </c>
      <c r="G99" s="5" t="str">
        <f t="shared" si="9"/>
        <v>2026-27</v>
      </c>
    </row>
    <row r="100" spans="1:11" ht="12.75" x14ac:dyDescent="0.2">
      <c r="B100" s="5">
        <v>6</v>
      </c>
      <c r="C100" s="5"/>
      <c r="D100" s="4"/>
      <c r="E100" s="5" t="str">
        <f>IFERROR(VLOOKUP(D100,Cat2C[],2,FALSE),"")</f>
        <v/>
      </c>
      <c r="F100" s="5" t="str">
        <f>IF(E100="","",E100/10)</f>
        <v/>
      </c>
      <c r="G100" s="5" t="str">
        <f t="shared" si="9"/>
        <v>2026-27</v>
      </c>
    </row>
    <row r="101" spans="1:11" ht="12.75" x14ac:dyDescent="0.2">
      <c r="B101" s="5">
        <v>7</v>
      </c>
      <c r="C101" s="5"/>
      <c r="D101" s="4"/>
      <c r="E101" s="5" t="str">
        <f>IFERROR(VLOOKUP(D101,Cat2C[],2,FALSE),"")</f>
        <v/>
      </c>
      <c r="F101" s="5" t="str">
        <f>IF(E101="","",E101/10)</f>
        <v/>
      </c>
      <c r="G101" s="5" t="str">
        <f t="shared" si="9"/>
        <v>2026-27</v>
      </c>
    </row>
    <row r="102" spans="1:11" ht="12.75" x14ac:dyDescent="0.2">
      <c r="B102" s="5">
        <v>8</v>
      </c>
      <c r="C102" s="5"/>
      <c r="D102" s="4"/>
      <c r="E102" s="5" t="str">
        <f>IFERROR(VLOOKUP(D102,Cat2C[],2,FALSE),"")</f>
        <v/>
      </c>
      <c r="F102" s="5" t="str">
        <f>IF(E102="","",E102/10)</f>
        <v/>
      </c>
      <c r="G102" s="5" t="str">
        <f t="shared" si="9"/>
        <v>2026-27</v>
      </c>
    </row>
    <row r="103" spans="1:11" ht="12.75" x14ac:dyDescent="0.2">
      <c r="D103" s="13" t="s">
        <v>163</v>
      </c>
      <c r="E103" s="4">
        <f t="shared" ref="E103:F103" si="10">SUM(E95:E102)</f>
        <v>0</v>
      </c>
      <c r="F103" s="4">
        <f t="shared" si="10"/>
        <v>0</v>
      </c>
      <c r="G103" s="31" t="s">
        <v>179</v>
      </c>
    </row>
    <row r="104" spans="1:11" ht="12.75" x14ac:dyDescent="0.2">
      <c r="D104" s="13" t="s">
        <v>17</v>
      </c>
      <c r="E104" s="46">
        <f>F103</f>
        <v>0</v>
      </c>
      <c r="F104" s="42"/>
      <c r="G104" s="31">
        <f>MIN(E104,K94)</f>
        <v>0</v>
      </c>
    </row>
    <row r="106" spans="1:11" ht="12.75" x14ac:dyDescent="0.2">
      <c r="B106" s="12" t="s">
        <v>15</v>
      </c>
      <c r="C106" s="12" t="s">
        <v>16</v>
      </c>
      <c r="D106" s="12" t="s">
        <v>17</v>
      </c>
      <c r="E106" s="34" t="s">
        <v>180</v>
      </c>
    </row>
    <row r="107" spans="1:11" ht="12.75" x14ac:dyDescent="0.2">
      <c r="B107" s="5">
        <f>G73</f>
        <v>0</v>
      </c>
      <c r="C107" s="5">
        <f>H89</f>
        <v>0</v>
      </c>
      <c r="D107" s="5">
        <f>G104</f>
        <v>0</v>
      </c>
      <c r="E107" s="5">
        <f>SUM(B107:D107)</f>
        <v>0</v>
      </c>
    </row>
    <row r="109" spans="1:11" ht="20.25" x14ac:dyDescent="0.3">
      <c r="A109" s="38" t="s">
        <v>19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2.75" x14ac:dyDescent="0.2">
      <c r="A110" s="1"/>
      <c r="B110" s="1"/>
    </row>
    <row r="111" spans="1:11" ht="12.75" x14ac:dyDescent="0.2">
      <c r="A111" s="1" t="s">
        <v>144</v>
      </c>
      <c r="B111" s="1" t="s">
        <v>181</v>
      </c>
    </row>
    <row r="112" spans="1:11" ht="12.75" x14ac:dyDescent="0.2">
      <c r="A112" s="1"/>
      <c r="B112" s="1"/>
    </row>
    <row r="113" spans="1:9" ht="12.75" x14ac:dyDescent="0.2">
      <c r="A113" s="1"/>
      <c r="B113" s="12" t="s">
        <v>146</v>
      </c>
      <c r="C113" s="12" t="s">
        <v>182</v>
      </c>
      <c r="D113" s="12" t="s">
        <v>183</v>
      </c>
      <c r="E113" s="12" t="s">
        <v>184</v>
      </c>
      <c r="F113" s="12" t="s">
        <v>83</v>
      </c>
      <c r="G113" s="12" t="s">
        <v>185</v>
      </c>
      <c r="H113" s="12" t="s">
        <v>171</v>
      </c>
      <c r="I113" s="12" t="s">
        <v>151</v>
      </c>
    </row>
    <row r="114" spans="1:9" ht="12.75" x14ac:dyDescent="0.2">
      <c r="A114" s="1"/>
      <c r="B114" s="4"/>
      <c r="C114" s="5"/>
      <c r="D114" s="5"/>
      <c r="E114" s="5"/>
      <c r="F114" s="5"/>
      <c r="G114" s="5"/>
      <c r="H114" s="5" t="str">
        <f>IF(OR(F114="",G114=""),"",SUMIFS(Lookup!$C$40:$C$57,Lookup!$A$40:$A$57,F114,Lookup!$B$40:$B$57,G114))</f>
        <v/>
      </c>
      <c r="I114" s="5" t="str">
        <f>"2026-27"</f>
        <v>2026-27</v>
      </c>
    </row>
    <row r="115" spans="1:9" ht="12.75" x14ac:dyDescent="0.2">
      <c r="A115" s="1"/>
      <c r="B115" s="1"/>
      <c r="G115" s="13" t="s">
        <v>163</v>
      </c>
      <c r="H115" s="4">
        <f>SUM(H114)</f>
        <v>0</v>
      </c>
      <c r="I115" s="4"/>
    </row>
    <row r="116" spans="1:9" ht="12.75" x14ac:dyDescent="0.2">
      <c r="A116" s="1"/>
      <c r="B116" s="1"/>
    </row>
    <row r="117" spans="1:9" ht="12.75" x14ac:dyDescent="0.2">
      <c r="A117" s="1" t="s">
        <v>156</v>
      </c>
      <c r="B117" s="1" t="s">
        <v>186</v>
      </c>
    </row>
    <row r="119" spans="1:9" ht="12.75" x14ac:dyDescent="0.2">
      <c r="B119" s="12" t="s">
        <v>146</v>
      </c>
      <c r="C119" s="12" t="s">
        <v>187</v>
      </c>
      <c r="D119" s="12" t="s">
        <v>85</v>
      </c>
      <c r="E119" s="12" t="s">
        <v>45</v>
      </c>
      <c r="F119" s="12" t="s">
        <v>171</v>
      </c>
      <c r="G119" s="12" t="s">
        <v>151</v>
      </c>
    </row>
    <row r="120" spans="1:9" ht="14.25" x14ac:dyDescent="0.2">
      <c r="B120" s="5">
        <v>1</v>
      </c>
      <c r="C120" s="5"/>
      <c r="D120" s="4"/>
      <c r="E120" s="35"/>
      <c r="F120" s="5" t="str">
        <f>IF(OR(D120="",E120=""),"",SUMIFS(Lookup!$G$40:$G$81,Lookup!$E$40:$E$81,D120,Lookup!$F$40:$F$81,E120))</f>
        <v/>
      </c>
      <c r="G120" s="5" t="str">
        <f t="shared" ref="G120:G128" si="11">"2026-27"</f>
        <v>2026-27</v>
      </c>
    </row>
    <row r="121" spans="1:9" ht="14.25" x14ac:dyDescent="0.2">
      <c r="B121" s="5">
        <v>2</v>
      </c>
      <c r="C121" s="5"/>
      <c r="D121" s="4"/>
      <c r="E121" s="35"/>
      <c r="F121" s="5" t="str">
        <f>IF(OR(D121="",E121=""),"",SUMIFS(Lookup!$G$40:$G$81,Lookup!$E$40:$E$81,D121,Lookup!$F$40:$F$81,E121))</f>
        <v/>
      </c>
      <c r="G121" s="5" t="str">
        <f t="shared" si="11"/>
        <v>2026-27</v>
      </c>
    </row>
    <row r="122" spans="1:9" ht="14.25" x14ac:dyDescent="0.2">
      <c r="B122" s="5">
        <v>3</v>
      </c>
      <c r="C122" s="5"/>
      <c r="D122" s="4"/>
      <c r="E122" s="35"/>
      <c r="F122" s="5" t="str">
        <f>IF(OR(D122="",E122=""),"",SUMIFS(Lookup!$G$40:$G$81,Lookup!$E$40:$E$81,D122,Lookup!$F$40:$F$81,E122))</f>
        <v/>
      </c>
      <c r="G122" s="5" t="str">
        <f t="shared" si="11"/>
        <v>2026-27</v>
      </c>
    </row>
    <row r="123" spans="1:9" ht="14.25" x14ac:dyDescent="0.2">
      <c r="B123" s="5">
        <v>4</v>
      </c>
      <c r="C123" s="5"/>
      <c r="D123" s="4"/>
      <c r="E123" s="35"/>
      <c r="F123" s="5" t="str">
        <f>IF(OR(D123="",E123=""),"",SUMIFS(Lookup!$G$40:$G$81,Lookup!$E$40:$E$81,D123,Lookup!$F$40:$F$81,E123))</f>
        <v/>
      </c>
      <c r="G123" s="5" t="str">
        <f t="shared" si="11"/>
        <v>2026-27</v>
      </c>
    </row>
    <row r="124" spans="1:9" ht="14.25" x14ac:dyDescent="0.2">
      <c r="B124" s="5">
        <v>5</v>
      </c>
      <c r="C124" s="5"/>
      <c r="D124" s="4"/>
      <c r="E124" s="35"/>
      <c r="F124" s="5" t="str">
        <f>IF(OR(D124="",E124=""),"",SUMIFS(Lookup!$G$40:$G$81,Lookup!$E$40:$E$81,D124,Lookup!$F$40:$F$81,E124))</f>
        <v/>
      </c>
      <c r="G124" s="5" t="str">
        <f t="shared" si="11"/>
        <v>2026-27</v>
      </c>
    </row>
    <row r="125" spans="1:9" ht="14.25" x14ac:dyDescent="0.2">
      <c r="B125" s="5">
        <v>6</v>
      </c>
      <c r="C125" s="5"/>
      <c r="D125" s="4"/>
      <c r="E125" s="35"/>
      <c r="F125" s="5" t="str">
        <f>IF(OR(D125="",E125=""),"",SUMIFS(Lookup!$G$40:$G$81,Lookup!$E$40:$E$81,D125,Lookup!$F$40:$F$81,E125))</f>
        <v/>
      </c>
      <c r="G125" s="5" t="str">
        <f t="shared" si="11"/>
        <v>2026-27</v>
      </c>
    </row>
    <row r="126" spans="1:9" ht="14.25" x14ac:dyDescent="0.2">
      <c r="B126" s="5">
        <v>7</v>
      </c>
      <c r="C126" s="5"/>
      <c r="D126" s="4"/>
      <c r="E126" s="35"/>
      <c r="F126" s="5" t="str">
        <f>IF(OR(D126="",E126=""),"",SUMIFS(Lookup!$G$40:$G$81,Lookup!$E$40:$E$81,D126,Lookup!$F$40:$F$81,E126))</f>
        <v/>
      </c>
      <c r="G126" s="5" t="str">
        <f t="shared" si="11"/>
        <v>2026-27</v>
      </c>
    </row>
    <row r="127" spans="1:9" ht="14.25" x14ac:dyDescent="0.2">
      <c r="B127" s="5">
        <v>8</v>
      </c>
      <c r="C127" s="5"/>
      <c r="D127" s="4"/>
      <c r="E127" s="35"/>
      <c r="F127" s="5" t="str">
        <f>IF(OR(D127="",E127=""),"",SUMIFS(Lookup!$G$40:$G$81,Lookup!$E$40:$E$81,D127,Lookup!$F$40:$F$81,E127))</f>
        <v/>
      </c>
      <c r="G127" s="5" t="str">
        <f t="shared" si="11"/>
        <v>2026-27</v>
      </c>
    </row>
    <row r="128" spans="1:9" ht="14.25" x14ac:dyDescent="0.2">
      <c r="B128" s="5">
        <v>9</v>
      </c>
      <c r="C128" s="5"/>
      <c r="D128" s="4"/>
      <c r="E128" s="35"/>
      <c r="F128" s="5" t="str">
        <f>IF(OR(D128="",E128=""),"",SUMIFS(Lookup!$G$40:$G$81,Lookup!$E$40:$E$81,D128,Lookup!$F$40:$F$81,E128))</f>
        <v/>
      </c>
      <c r="G128" s="5" t="str">
        <f t="shared" si="11"/>
        <v>2026-27</v>
      </c>
    </row>
    <row r="129" spans="2:7" ht="12.75" x14ac:dyDescent="0.2">
      <c r="E129" s="13" t="s">
        <v>163</v>
      </c>
      <c r="F129" s="4">
        <f>SUM(F120:F128)</f>
        <v>0</v>
      </c>
      <c r="G129" s="4"/>
    </row>
    <row r="131" spans="2:7" ht="12.75" x14ac:dyDescent="0.2">
      <c r="B131" s="12" t="s">
        <v>188</v>
      </c>
      <c r="C131" s="12" t="s">
        <v>189</v>
      </c>
      <c r="D131" s="34" t="s">
        <v>190</v>
      </c>
    </row>
    <row r="132" spans="2:7" ht="12.75" x14ac:dyDescent="0.2">
      <c r="B132" s="5">
        <f>H115</f>
        <v>0</v>
      </c>
      <c r="C132" s="5">
        <f>F129</f>
        <v>0</v>
      </c>
      <c r="D132" s="5">
        <f>SUM(B132:C132)</f>
        <v>0</v>
      </c>
    </row>
    <row r="149" spans="2:7" ht="12.75" x14ac:dyDescent="0.2">
      <c r="B149" s="4" t="s">
        <v>138</v>
      </c>
      <c r="C149" s="4" t="s">
        <v>139</v>
      </c>
      <c r="D149" s="1" t="s">
        <v>140</v>
      </c>
      <c r="E149" s="1" t="s">
        <v>141</v>
      </c>
    </row>
    <row r="150" spans="2:7" ht="12.75" x14ac:dyDescent="0.2">
      <c r="B150" s="5" t="s">
        <v>142</v>
      </c>
      <c r="C150" s="5" t="s">
        <v>142</v>
      </c>
      <c r="D150" s="5" t="s">
        <v>142</v>
      </c>
      <c r="E150" s="5" t="s">
        <v>142</v>
      </c>
    </row>
    <row r="151" spans="2:7" ht="12.75" x14ac:dyDescent="0.2">
      <c r="B151" s="5" t="e">
        <f t="array" aca="1" ref="B151:B156" ca="1">_xludf.UNIQUE(INDEX(Cat3A[],,1))</f>
        <v>#NAME?</v>
      </c>
      <c r="C151" s="5" t="str">
        <f ca="1">IFERROR(__xludf.DUMMYFUNCTION("UNIQUE(FILTER(INDEX(Cat3A,,2),INDEX(Cat3A,,1)=F114))"),"#N/A")</f>
        <v>#N/A</v>
      </c>
      <c r="D151" s="2" t="e">
        <f t="array" aca="1" ref="D151:D161" ca="1">_xludf.UNIQUE(INDEX(Cat3B[],,1))</f>
        <v>#NAME?</v>
      </c>
      <c r="E151" s="2" t="str">
        <f ca="1">IFERROR(__xludf.DUMMYFUNCTION("TRANSPOSE(UNIQUE(FILTER(INDEX(Cat3B,,2),INDEX(Cat3B,,1)=D120)))"),"International Award / Fellowship from Academic Bodies/Associations")</f>
        <v>International Award / Fellowship from Academic Bodies/Associations</v>
      </c>
      <c r="F151" s="2" t="str">
        <f ca="1">IFERROR(__xludf.DUMMYFUNCTION("""COMPUTED_VALUE"""),"National Award / Fellowship from Academic Bodies/Associations")</f>
        <v>National Award / Fellowship from Academic Bodies/Associations</v>
      </c>
      <c r="G151" s="2" t="str">
        <f ca="1">IFERROR(__xludf.DUMMYFUNCTION("""COMPUTED_VALUE"""),"State / University Award/Fellowship from Academic Bodies/Associations")</f>
        <v>State / University Award/Fellowship from Academic Bodies/Associations</v>
      </c>
    </row>
    <row r="152" spans="2:7" ht="12.75" x14ac:dyDescent="0.2">
      <c r="B152" s="5" t="e">
        <f ca="1"/>
        <v>#NAME?</v>
      </c>
      <c r="C152" s="5"/>
      <c r="D152" s="2" t="e">
        <f ca="1"/>
        <v>#NAME?</v>
      </c>
    </row>
    <row r="153" spans="2:7" ht="12.75" x14ac:dyDescent="0.2">
      <c r="B153" s="5" t="e">
        <f ca="1"/>
        <v>#NAME?</v>
      </c>
      <c r="C153" s="5"/>
      <c r="D153" s="2" t="e">
        <f ca="1"/>
        <v>#NAME?</v>
      </c>
    </row>
    <row r="154" spans="2:7" ht="12.75" x14ac:dyDescent="0.2">
      <c r="B154" s="5" t="e">
        <f ca="1"/>
        <v>#NAME?</v>
      </c>
      <c r="C154" s="5"/>
      <c r="D154" s="2" t="e">
        <f ca="1"/>
        <v>#NAME?</v>
      </c>
    </row>
    <row r="155" spans="2:7" ht="12.75" x14ac:dyDescent="0.2">
      <c r="B155" s="5" t="e">
        <f ca="1"/>
        <v>#NAME?</v>
      </c>
      <c r="C155" s="5"/>
      <c r="D155" s="2" t="e">
        <f ca="1"/>
        <v>#NAME?</v>
      </c>
    </row>
    <row r="156" spans="2:7" ht="12.75" x14ac:dyDescent="0.2">
      <c r="B156" s="5" t="e">
        <f ca="1"/>
        <v>#NAME?</v>
      </c>
      <c r="C156" s="5"/>
      <c r="D156" s="2" t="e">
        <f ca="1"/>
        <v>#NAME?</v>
      </c>
    </row>
    <row r="157" spans="2:7" ht="12.75" x14ac:dyDescent="0.2">
      <c r="D157" s="2" t="e">
        <f ca="1"/>
        <v>#NAME?</v>
      </c>
    </row>
    <row r="158" spans="2:7" ht="12.75" x14ac:dyDescent="0.2">
      <c r="D158" s="2" t="e">
        <f ca="1"/>
        <v>#NAME?</v>
      </c>
    </row>
    <row r="159" spans="2:7" ht="12.75" x14ac:dyDescent="0.2">
      <c r="D159" s="2" t="e">
        <f ca="1"/>
        <v>#NAME?</v>
      </c>
    </row>
    <row r="160" spans="2:7" ht="12.75" x14ac:dyDescent="0.2">
      <c r="D160" s="2" t="e">
        <f ca="1"/>
        <v>#NAME?</v>
      </c>
    </row>
    <row r="161" spans="4:4" ht="12.75" x14ac:dyDescent="0.2">
      <c r="D161" s="2" t="e">
        <f ca="1"/>
        <v>#NAME?</v>
      </c>
    </row>
  </sheetData>
  <mergeCells count="13">
    <mergeCell ref="B17:C17"/>
    <mergeCell ref="A1:K1"/>
    <mergeCell ref="B2:G2"/>
    <mergeCell ref="E11:G11"/>
    <mergeCell ref="B13:G13"/>
    <mergeCell ref="B16:C16"/>
    <mergeCell ref="A109:K109"/>
    <mergeCell ref="E31:F31"/>
    <mergeCell ref="B33:G33"/>
    <mergeCell ref="A47:K47"/>
    <mergeCell ref="E73:F73"/>
    <mergeCell ref="E89:G89"/>
    <mergeCell ref="E104:F104"/>
  </mergeCells>
  <dataValidations count="9">
    <dataValidation type="list" allowBlank="1" showInputMessage="1" showErrorMessage="1" sqref="D18:D29" xr:uid="{D0B8C019-CF90-4CE3-B12B-AB1EF44B15DC}">
      <formula1>ExamMode</formula1>
    </dataValidation>
    <dataValidation type="list" allowBlank="1" showInputMessage="1" showErrorMessage="1" sqref="D5:D9 D36:D40" xr:uid="{FAEEDE11-28E8-4E08-B948-201EE0FE964E}">
      <formula1>CourseIn</formula1>
    </dataValidation>
    <dataValidation type="list" allowBlank="1" showErrorMessage="1" sqref="E120:E128" xr:uid="{EC2D4D37-8D79-42B4-8A85-022A64633EF9}">
      <formula1>$E$150:$E$161</formula1>
    </dataValidation>
    <dataValidation type="list" allowBlank="1" showInputMessage="1" showErrorMessage="1" sqref="D51:D71" xr:uid="{E12B42D2-F845-4135-87DC-4A0CBB46E6F8}">
      <formula1>Cat2AList</formula1>
    </dataValidation>
    <dataValidation type="list" allowBlank="1" showInputMessage="1" showErrorMessage="1" sqref="D78:D87" xr:uid="{F28218C7-2A70-4E55-9200-E3CF9105086E}">
      <formula1>Cat2BList</formula1>
    </dataValidation>
    <dataValidation type="list" allowBlank="1" showInputMessage="1" showErrorMessage="1" sqref="D95:D102" xr:uid="{AE5C1E7F-C94F-45D1-A91C-B2AAEEEEA714}">
      <formula1>Cat2CList</formula1>
    </dataValidation>
    <dataValidation type="list" allowBlank="1" showInputMessage="1" showErrorMessage="1" sqref="F114" xr:uid="{79F3E7F0-485E-47C2-94D2-556145873B8C}">
      <formula1>Cat3AClassList</formula1>
    </dataValidation>
    <dataValidation type="list" allowBlank="1" showInputMessage="1" showErrorMessage="1" sqref="G114" xr:uid="{5F1EC61E-F9D5-482E-B22B-FECDD4E122F2}">
      <formula1>Cat3AAuthorList</formula1>
    </dataValidation>
    <dataValidation type="list" allowBlank="1" showInputMessage="1" showErrorMessage="1" sqref="D120:D128" xr:uid="{85F0D215-D634-42DC-A3A7-F1B995741809}">
      <formula1>Cat3BCategoryList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61"/>
  <sheetViews>
    <sheetView workbookViewId="0"/>
  </sheetViews>
  <sheetFormatPr defaultColWidth="12.5703125" defaultRowHeight="15.75" customHeight="1" x14ac:dyDescent="0.2"/>
  <cols>
    <col min="1" max="1" width="5.7109375" customWidth="1"/>
    <col min="2" max="2" width="9.5703125" customWidth="1"/>
    <col min="3" max="3" width="55" customWidth="1"/>
    <col min="4" max="4" width="63.42578125" customWidth="1"/>
    <col min="5" max="5" width="25" customWidth="1"/>
    <col min="6" max="6" width="14.28515625" customWidth="1"/>
    <col min="8" max="8" width="13" customWidth="1"/>
  </cols>
  <sheetData>
    <row r="1" spans="1:11" ht="15.75" customHeight="1" x14ac:dyDescent="0.3">
      <c r="A1" s="38" t="s">
        <v>143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.75" x14ac:dyDescent="0.2">
      <c r="A2" s="1" t="s">
        <v>144</v>
      </c>
      <c r="B2" s="39" t="s">
        <v>145</v>
      </c>
      <c r="C2" s="37"/>
      <c r="D2" s="37"/>
      <c r="E2" s="37"/>
      <c r="F2" s="37"/>
      <c r="G2" s="37"/>
    </row>
    <row r="3" spans="1:11" ht="12.75" x14ac:dyDescent="0.2">
      <c r="A3" s="2"/>
      <c r="B3" s="2"/>
    </row>
    <row r="4" spans="1:11" ht="12.75" x14ac:dyDescent="0.2">
      <c r="A4" s="2"/>
      <c r="B4" s="12" t="s">
        <v>146</v>
      </c>
      <c r="C4" s="12" t="s">
        <v>197</v>
      </c>
      <c r="D4" s="12" t="s">
        <v>148</v>
      </c>
      <c r="E4" s="12" t="s">
        <v>149</v>
      </c>
      <c r="F4" s="12" t="s">
        <v>198</v>
      </c>
      <c r="G4" s="12" t="s">
        <v>150</v>
      </c>
      <c r="H4" s="12" t="s">
        <v>151</v>
      </c>
      <c r="J4" s="13" t="s">
        <v>152</v>
      </c>
      <c r="K4" s="5">
        <f>60</f>
        <v>60</v>
      </c>
    </row>
    <row r="5" spans="1:11" ht="12.75" x14ac:dyDescent="0.2">
      <c r="A5" s="2"/>
      <c r="B5" s="5">
        <v>1</v>
      </c>
      <c r="C5" s="5"/>
      <c r="D5" s="4"/>
      <c r="E5" s="5"/>
      <c r="F5" s="5" t="str">
        <f>IF(OR(C5="",D5="",E5=""),"",IF(D5="Post Graduate",ROUND(E5*7/3,0),IF(D5="Under Graduate",ROUND(ROUND(E5*7/3,0)/2,1),"")))</f>
        <v/>
      </c>
      <c r="G5" s="14" t="str">
        <f>IF(F5="","",ROUND(F5/10,2))</f>
        <v/>
      </c>
      <c r="H5" s="5" t="str">
        <f t="shared" ref="H5:H9" si="0">"2027-28"</f>
        <v>2027-28</v>
      </c>
      <c r="I5" s="2"/>
    </row>
    <row r="6" spans="1:11" ht="12.75" x14ac:dyDescent="0.2">
      <c r="A6" s="2"/>
      <c r="B6" s="5">
        <v>2</v>
      </c>
      <c r="C6" s="5"/>
      <c r="D6" s="4"/>
      <c r="E6" s="5"/>
      <c r="F6" s="5" t="str">
        <f>IF(OR(C6="",D6="",E6=""),"",IF(D6="Post Graduate",ROUND(E6*7/3,0),IF(D6="Under Graduate",ROUND(ROUND(E6*7/3,0)/2,1),"")))</f>
        <v/>
      </c>
      <c r="G6" s="14" t="str">
        <f>IF(F6="","",ROUND(F6/10,2))</f>
        <v/>
      </c>
      <c r="H6" s="5" t="str">
        <f t="shared" si="0"/>
        <v>2027-28</v>
      </c>
      <c r="I6" s="2"/>
    </row>
    <row r="7" spans="1:11" ht="12.75" x14ac:dyDescent="0.2">
      <c r="A7" s="2"/>
      <c r="B7" s="5">
        <v>3</v>
      </c>
      <c r="C7" s="5"/>
      <c r="D7" s="4"/>
      <c r="E7" s="5"/>
      <c r="F7" s="5" t="str">
        <f>IF(OR(C7="",D7="",E7=""),"",IF(D7="Post Graduate",ROUND(E7*7/3,0),IF(D7="Under Graduate",ROUND(ROUND(E7*7/3,0)/2,1),"")))</f>
        <v/>
      </c>
      <c r="G7" s="14" t="str">
        <f>IF(F7="","",ROUND(F7/10,2))</f>
        <v/>
      </c>
      <c r="H7" s="5" t="str">
        <f t="shared" si="0"/>
        <v>2027-28</v>
      </c>
      <c r="I7" s="2"/>
    </row>
    <row r="8" spans="1:11" ht="12.75" x14ac:dyDescent="0.2">
      <c r="A8" s="2"/>
      <c r="B8" s="5">
        <v>4</v>
      </c>
      <c r="C8" s="5"/>
      <c r="D8" s="4"/>
      <c r="E8" s="5"/>
      <c r="F8" s="5" t="str">
        <f>IF(OR(C8="",D8="",E8=""),"",IF(D8="Post Graduate",ROUND(E8*7/3,0),IF(D8="Under Graduate",ROUND(ROUND(E8*7/3,0)/2,1),"")))</f>
        <v/>
      </c>
      <c r="G8" s="14" t="str">
        <f>IF(F8="","",ROUND(F8/10,2))</f>
        <v/>
      </c>
      <c r="H8" s="5" t="str">
        <f t="shared" si="0"/>
        <v>2027-28</v>
      </c>
      <c r="I8" s="2"/>
    </row>
    <row r="9" spans="1:11" ht="12.75" x14ac:dyDescent="0.2">
      <c r="A9" s="2"/>
      <c r="B9" s="5">
        <v>5</v>
      </c>
      <c r="C9" s="5"/>
      <c r="D9" s="4"/>
      <c r="E9" s="5"/>
      <c r="F9" s="5" t="str">
        <f>IF(OR(C9="",D9="",E9=""),"",IF(D9="Post Graduate",ROUND(E9*7/3,0),IF(D9="Under Graduate",ROUND(ROUND(E9*7/3,0)/2,1),"")))</f>
        <v/>
      </c>
      <c r="G9" s="14" t="str">
        <f>IF(F9="","",ROUND(F9/10,2))</f>
        <v/>
      </c>
      <c r="H9" s="5" t="str">
        <f t="shared" si="0"/>
        <v>2027-28</v>
      </c>
      <c r="I9" s="2"/>
    </row>
    <row r="10" spans="1:11" ht="12.75" x14ac:dyDescent="0.2">
      <c r="A10" s="1"/>
      <c r="B10" s="15"/>
      <c r="D10" s="16" t="s">
        <v>154</v>
      </c>
      <c r="E10" s="17">
        <f>SUM(E5:E9)</f>
        <v>0</v>
      </c>
      <c r="F10" s="17">
        <f>SUM(F5:F9)</f>
        <v>0</v>
      </c>
      <c r="G10" s="18">
        <f>SUM(G5:G9)</f>
        <v>0</v>
      </c>
      <c r="H10" s="19" t="s">
        <v>155</v>
      </c>
    </row>
    <row r="11" spans="1:11" ht="12.75" x14ac:dyDescent="0.2">
      <c r="A11" s="1"/>
      <c r="B11" s="15"/>
      <c r="C11" s="15"/>
      <c r="D11" s="20" t="s">
        <v>10</v>
      </c>
      <c r="E11" s="40">
        <f>G10</f>
        <v>0</v>
      </c>
      <c r="F11" s="41"/>
      <c r="G11" s="42"/>
      <c r="H11" s="21">
        <f>MIN(E11,K4)</f>
        <v>0</v>
      </c>
    </row>
    <row r="12" spans="1:11" ht="12.75" x14ac:dyDescent="0.2">
      <c r="A12" s="1"/>
      <c r="B12" s="15"/>
      <c r="C12" s="15"/>
      <c r="D12" s="15"/>
      <c r="E12" s="15"/>
      <c r="F12" s="15"/>
      <c r="G12" s="15"/>
    </row>
    <row r="13" spans="1:11" ht="12.75" x14ac:dyDescent="0.2">
      <c r="A13" s="1" t="s">
        <v>156</v>
      </c>
      <c r="B13" s="43" t="s">
        <v>157</v>
      </c>
      <c r="C13" s="37"/>
      <c r="D13" s="37"/>
      <c r="E13" s="37"/>
      <c r="F13" s="37"/>
      <c r="G13" s="37"/>
    </row>
    <row r="15" spans="1:11" ht="12.75" x14ac:dyDescent="0.2">
      <c r="B15" s="12" t="s">
        <v>146</v>
      </c>
      <c r="C15" s="12" t="s">
        <v>147</v>
      </c>
      <c r="D15" s="12" t="s">
        <v>199</v>
      </c>
      <c r="E15" s="12" t="s">
        <v>200</v>
      </c>
      <c r="F15" s="12" t="s">
        <v>46</v>
      </c>
      <c r="G15" s="12" t="s">
        <v>151</v>
      </c>
      <c r="J15" s="13" t="s">
        <v>152</v>
      </c>
      <c r="K15" s="5">
        <f>20</f>
        <v>20</v>
      </c>
    </row>
    <row r="16" spans="1:11" ht="12.75" x14ac:dyDescent="0.2">
      <c r="B16" s="44" t="s">
        <v>158</v>
      </c>
      <c r="C16" s="42"/>
      <c r="D16" s="22" t="s">
        <v>159</v>
      </c>
      <c r="E16" s="5">
        <f>COUNTA(C5:C9)*10</f>
        <v>0</v>
      </c>
      <c r="F16" s="5">
        <f>ROUND(E16/10,2)</f>
        <v>0</v>
      </c>
      <c r="G16" s="5" t="str">
        <f t="shared" ref="G16:G29" si="1">"2027-28"</f>
        <v>2027-28</v>
      </c>
    </row>
    <row r="17" spans="1:7" ht="12.75" x14ac:dyDescent="0.2">
      <c r="B17" s="44" t="s">
        <v>160</v>
      </c>
      <c r="C17" s="42"/>
      <c r="D17" s="22" t="s">
        <v>161</v>
      </c>
      <c r="E17" s="5">
        <f>COUNTA(C5:C9)*20</f>
        <v>0</v>
      </c>
      <c r="F17" s="5">
        <f>ROUND(E17/10,2)</f>
        <v>0</v>
      </c>
      <c r="G17" s="5" t="str">
        <f t="shared" si="1"/>
        <v>2027-28</v>
      </c>
    </row>
    <row r="18" spans="1:7" ht="12.75" x14ac:dyDescent="0.2">
      <c r="B18" s="5">
        <v>1</v>
      </c>
      <c r="C18" s="5"/>
      <c r="D18" s="4"/>
      <c r="E18" s="5"/>
      <c r="F18" s="5" t="str">
        <f t="shared" ref="F18:F29" si="2">IF(OR(D18="",E18=""),"",ROUND(E18/10,2))</f>
        <v/>
      </c>
      <c r="G18" s="5" t="str">
        <f t="shared" si="1"/>
        <v>2027-28</v>
      </c>
    </row>
    <row r="19" spans="1:7" ht="12.75" x14ac:dyDescent="0.2">
      <c r="B19" s="5">
        <v>2</v>
      </c>
      <c r="C19" s="5"/>
      <c r="D19" s="4"/>
      <c r="E19" s="5"/>
      <c r="F19" s="5" t="str">
        <f t="shared" si="2"/>
        <v/>
      </c>
      <c r="G19" s="5" t="str">
        <f t="shared" si="1"/>
        <v>2027-28</v>
      </c>
    </row>
    <row r="20" spans="1:7" ht="12.75" x14ac:dyDescent="0.2">
      <c r="A20" s="1"/>
      <c r="B20" s="5">
        <v>3</v>
      </c>
      <c r="C20" s="5"/>
      <c r="D20" s="4"/>
      <c r="E20" s="5"/>
      <c r="F20" s="5" t="str">
        <f t="shared" si="2"/>
        <v/>
      </c>
      <c r="G20" s="5" t="str">
        <f t="shared" si="1"/>
        <v>2027-28</v>
      </c>
    </row>
    <row r="21" spans="1:7" ht="12.75" x14ac:dyDescent="0.2">
      <c r="A21" s="1"/>
      <c r="B21" s="5">
        <v>4</v>
      </c>
      <c r="C21" s="5"/>
      <c r="D21" s="4"/>
      <c r="E21" s="5"/>
      <c r="F21" s="5" t="str">
        <f t="shared" si="2"/>
        <v/>
      </c>
      <c r="G21" s="5" t="str">
        <f t="shared" si="1"/>
        <v>2027-28</v>
      </c>
    </row>
    <row r="22" spans="1:7" ht="12.75" x14ac:dyDescent="0.2">
      <c r="A22" s="1"/>
      <c r="B22" s="5">
        <v>5</v>
      </c>
      <c r="C22" s="5"/>
      <c r="D22" s="4"/>
      <c r="E22" s="5"/>
      <c r="F22" s="5" t="str">
        <f t="shared" si="2"/>
        <v/>
      </c>
      <c r="G22" s="5" t="str">
        <f t="shared" si="1"/>
        <v>2027-28</v>
      </c>
    </row>
    <row r="23" spans="1:7" ht="12.75" x14ac:dyDescent="0.2">
      <c r="A23" s="1"/>
      <c r="B23" s="5">
        <v>6</v>
      </c>
      <c r="C23" s="5"/>
      <c r="D23" s="4"/>
      <c r="E23" s="5"/>
      <c r="F23" s="5" t="str">
        <f t="shared" si="2"/>
        <v/>
      </c>
      <c r="G23" s="5" t="str">
        <f t="shared" si="1"/>
        <v>2027-28</v>
      </c>
    </row>
    <row r="24" spans="1:7" ht="12.75" x14ac:dyDescent="0.2">
      <c r="A24" s="1"/>
      <c r="B24" s="5">
        <v>7</v>
      </c>
      <c r="C24" s="5"/>
      <c r="D24" s="4"/>
      <c r="E24" s="5"/>
      <c r="F24" s="5" t="str">
        <f t="shared" si="2"/>
        <v/>
      </c>
      <c r="G24" s="5" t="str">
        <f t="shared" si="1"/>
        <v>2027-28</v>
      </c>
    </row>
    <row r="25" spans="1:7" ht="12.75" x14ac:dyDescent="0.2">
      <c r="A25" s="1"/>
      <c r="B25" s="5">
        <v>8</v>
      </c>
      <c r="C25" s="5"/>
      <c r="D25" s="4"/>
      <c r="E25" s="5"/>
      <c r="F25" s="5" t="str">
        <f t="shared" si="2"/>
        <v/>
      </c>
      <c r="G25" s="5" t="str">
        <f t="shared" si="1"/>
        <v>2027-28</v>
      </c>
    </row>
    <row r="26" spans="1:7" ht="12.75" x14ac:dyDescent="0.2">
      <c r="A26" s="1"/>
      <c r="B26" s="5">
        <v>9</v>
      </c>
      <c r="C26" s="5"/>
      <c r="D26" s="4"/>
      <c r="E26" s="5"/>
      <c r="F26" s="5" t="str">
        <f t="shared" si="2"/>
        <v/>
      </c>
      <c r="G26" s="5" t="str">
        <f t="shared" si="1"/>
        <v>2027-28</v>
      </c>
    </row>
    <row r="27" spans="1:7" ht="12.75" x14ac:dyDescent="0.2">
      <c r="A27" s="1"/>
      <c r="B27" s="5">
        <v>10</v>
      </c>
      <c r="C27" s="5"/>
      <c r="D27" s="4"/>
      <c r="E27" s="5"/>
      <c r="F27" s="5" t="str">
        <f t="shared" si="2"/>
        <v/>
      </c>
      <c r="G27" s="5" t="str">
        <f t="shared" si="1"/>
        <v>2027-28</v>
      </c>
    </row>
    <row r="28" spans="1:7" ht="12.75" x14ac:dyDescent="0.2">
      <c r="A28" s="1"/>
      <c r="B28" s="5">
        <v>11</v>
      </c>
      <c r="C28" s="5"/>
      <c r="D28" s="4"/>
      <c r="E28" s="5"/>
      <c r="F28" s="5" t="str">
        <f t="shared" si="2"/>
        <v/>
      </c>
      <c r="G28" s="5" t="str">
        <f t="shared" si="1"/>
        <v>2027-28</v>
      </c>
    </row>
    <row r="29" spans="1:7" ht="12.75" x14ac:dyDescent="0.2">
      <c r="A29" s="1"/>
      <c r="B29" s="5">
        <v>12</v>
      </c>
      <c r="C29" s="5"/>
      <c r="D29" s="4"/>
      <c r="E29" s="5"/>
      <c r="F29" s="5" t="str">
        <f t="shared" si="2"/>
        <v/>
      </c>
      <c r="G29" s="5" t="str">
        <f t="shared" si="1"/>
        <v>2027-28</v>
      </c>
    </row>
    <row r="30" spans="1:7" ht="12.75" x14ac:dyDescent="0.2">
      <c r="A30" s="1"/>
      <c r="B30" s="1"/>
      <c r="C30" s="1"/>
      <c r="D30" s="16" t="s">
        <v>163</v>
      </c>
      <c r="E30" s="17">
        <f>SUM(E16:E29)</f>
        <v>0</v>
      </c>
      <c r="F30" s="5">
        <f>SUM(F16:F29)</f>
        <v>0</v>
      </c>
      <c r="G30" s="23" t="s">
        <v>164</v>
      </c>
    </row>
    <row r="31" spans="1:7" ht="12.75" x14ac:dyDescent="0.2">
      <c r="A31" s="1"/>
      <c r="B31" s="1"/>
      <c r="C31" s="1"/>
      <c r="D31" s="16" t="s">
        <v>11</v>
      </c>
      <c r="E31" s="45">
        <f>F30</f>
        <v>0</v>
      </c>
      <c r="F31" s="42"/>
      <c r="G31" s="19">
        <f>MIN(E31,K15)</f>
        <v>0</v>
      </c>
    </row>
    <row r="32" spans="1:7" ht="12.75" x14ac:dyDescent="0.2">
      <c r="A32" s="1"/>
      <c r="B32" s="1"/>
      <c r="C32" s="1"/>
      <c r="D32" s="1"/>
      <c r="E32" s="1"/>
      <c r="F32" s="1"/>
      <c r="G32" s="1"/>
    </row>
    <row r="33" spans="1:11" ht="12.75" x14ac:dyDescent="0.2">
      <c r="A33" s="1" t="s">
        <v>165</v>
      </c>
      <c r="B33" s="39" t="s">
        <v>201</v>
      </c>
      <c r="C33" s="37"/>
      <c r="D33" s="37"/>
      <c r="E33" s="37"/>
      <c r="F33" s="37"/>
      <c r="G33" s="37"/>
    </row>
    <row r="35" spans="1:11" ht="12.75" x14ac:dyDescent="0.2">
      <c r="B35" s="12" t="s">
        <v>146</v>
      </c>
      <c r="C35" s="12" t="s">
        <v>197</v>
      </c>
      <c r="D35" s="12" t="s">
        <v>148</v>
      </c>
      <c r="E35" s="12" t="s">
        <v>149</v>
      </c>
      <c r="F35" s="12" t="s">
        <v>202</v>
      </c>
      <c r="G35" s="12" t="s">
        <v>151</v>
      </c>
      <c r="J35" s="13" t="s">
        <v>152</v>
      </c>
      <c r="K35" s="5">
        <f>15</f>
        <v>15</v>
      </c>
    </row>
    <row r="36" spans="1:11" ht="12.75" x14ac:dyDescent="0.2">
      <c r="B36" s="5">
        <v>1</v>
      </c>
      <c r="C36" s="5" t="str">
        <f t="shared" ref="C36:E40" si="3">IF(C5="","",C5)</f>
        <v/>
      </c>
      <c r="D36" s="24" t="str">
        <f t="shared" si="3"/>
        <v/>
      </c>
      <c r="E36" s="25" t="str">
        <f t="shared" si="3"/>
        <v/>
      </c>
      <c r="F36" s="14" t="str">
        <f>IF(E36="","",ROUND(E36/3,2))</f>
        <v/>
      </c>
      <c r="G36" s="5" t="str">
        <f t="shared" ref="G36:G40" si="4">"2027-28"</f>
        <v>2027-28</v>
      </c>
    </row>
    <row r="37" spans="1:11" ht="12.75" x14ac:dyDescent="0.2">
      <c r="B37" s="5">
        <v>2</v>
      </c>
      <c r="C37" s="5" t="str">
        <f t="shared" si="3"/>
        <v/>
      </c>
      <c r="D37" s="24" t="str">
        <f t="shared" si="3"/>
        <v/>
      </c>
      <c r="E37" s="25" t="str">
        <f t="shared" si="3"/>
        <v/>
      </c>
      <c r="F37" s="14" t="str">
        <f>IF(E37="","",ROUND(E37/3,2))</f>
        <v/>
      </c>
      <c r="G37" s="5" t="str">
        <f t="shared" si="4"/>
        <v>2027-28</v>
      </c>
    </row>
    <row r="38" spans="1:11" ht="12.75" x14ac:dyDescent="0.2">
      <c r="B38" s="5">
        <v>3</v>
      </c>
      <c r="C38" s="5" t="str">
        <f t="shared" si="3"/>
        <v/>
      </c>
      <c r="D38" s="24" t="str">
        <f t="shared" si="3"/>
        <v/>
      </c>
      <c r="E38" s="25" t="str">
        <f t="shared" si="3"/>
        <v/>
      </c>
      <c r="F38" s="14" t="str">
        <f>IF(E38="","",ROUND(E38/3,2))</f>
        <v/>
      </c>
      <c r="G38" s="5" t="str">
        <f t="shared" si="4"/>
        <v>2027-28</v>
      </c>
    </row>
    <row r="39" spans="1:11" ht="12.75" x14ac:dyDescent="0.2">
      <c r="B39" s="5">
        <v>4</v>
      </c>
      <c r="C39" s="5" t="str">
        <f t="shared" si="3"/>
        <v/>
      </c>
      <c r="D39" s="24" t="str">
        <f t="shared" si="3"/>
        <v/>
      </c>
      <c r="E39" s="25" t="str">
        <f t="shared" si="3"/>
        <v/>
      </c>
      <c r="F39" s="14" t="str">
        <f>IF(E39="","",ROUND(E39/3,2))</f>
        <v/>
      </c>
      <c r="G39" s="5" t="str">
        <f t="shared" si="4"/>
        <v>2027-28</v>
      </c>
    </row>
    <row r="40" spans="1:11" ht="12.75" x14ac:dyDescent="0.2">
      <c r="B40" s="5">
        <v>5</v>
      </c>
      <c r="C40" s="5" t="str">
        <f t="shared" si="3"/>
        <v/>
      </c>
      <c r="D40" s="24" t="str">
        <f t="shared" si="3"/>
        <v/>
      </c>
      <c r="E40" s="25" t="str">
        <f t="shared" si="3"/>
        <v/>
      </c>
      <c r="F40" s="14" t="str">
        <f>IF(E40="","",ROUND(E40/3,2))</f>
        <v/>
      </c>
      <c r="G40" s="5" t="str">
        <f t="shared" si="4"/>
        <v>2027-28</v>
      </c>
      <c r="J40" s="26"/>
    </row>
    <row r="41" spans="1:11" ht="12.75" x14ac:dyDescent="0.2">
      <c r="B41" s="15"/>
      <c r="D41" s="1"/>
      <c r="E41" s="17" t="s">
        <v>154</v>
      </c>
      <c r="F41" s="27">
        <f>SUM(F36:F40)</f>
        <v>0</v>
      </c>
      <c r="G41" s="19" t="s">
        <v>166</v>
      </c>
    </row>
    <row r="42" spans="1:11" ht="12.75" x14ac:dyDescent="0.2">
      <c r="B42" s="15"/>
      <c r="C42" s="15"/>
      <c r="D42" s="15"/>
      <c r="E42" s="28" t="s">
        <v>21</v>
      </c>
      <c r="F42" s="29">
        <f>ROUND(F41/10,2)</f>
        <v>0</v>
      </c>
      <c r="G42" s="21">
        <f>MIN(F42,K35)</f>
        <v>0</v>
      </c>
    </row>
    <row r="44" spans="1:11" ht="12.75" x14ac:dyDescent="0.2">
      <c r="B44" s="4" t="s">
        <v>21</v>
      </c>
      <c r="C44" s="4" t="s">
        <v>22</v>
      </c>
      <c r="D44" s="4" t="s">
        <v>23</v>
      </c>
      <c r="E44" s="30" t="s">
        <v>167</v>
      </c>
    </row>
    <row r="45" spans="1:11" ht="12.75" x14ac:dyDescent="0.2">
      <c r="B45" s="14">
        <f>H11</f>
        <v>0</v>
      </c>
      <c r="C45" s="5">
        <f>G31</f>
        <v>0</v>
      </c>
      <c r="D45" s="14">
        <f>G42</f>
        <v>0</v>
      </c>
      <c r="E45" s="14">
        <f>SUM(B45:D45)</f>
        <v>0</v>
      </c>
    </row>
    <row r="47" spans="1:11" ht="20.25" x14ac:dyDescent="0.3">
      <c r="A47" s="38" t="s">
        <v>14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2.75" x14ac:dyDescent="0.2">
      <c r="A48" s="1" t="s">
        <v>144</v>
      </c>
      <c r="B48" s="1" t="s">
        <v>168</v>
      </c>
    </row>
    <row r="49" spans="1:11" ht="12.75" x14ac:dyDescent="0.2">
      <c r="A49" s="2"/>
      <c r="B49" s="2"/>
    </row>
    <row r="50" spans="1:11" ht="12.75" x14ac:dyDescent="0.2">
      <c r="A50" s="2"/>
      <c r="B50" s="12" t="s">
        <v>146</v>
      </c>
      <c r="C50" s="12" t="s">
        <v>169</v>
      </c>
      <c r="D50" s="12" t="s">
        <v>170</v>
      </c>
      <c r="E50" s="12" t="s">
        <v>46</v>
      </c>
      <c r="F50" s="12" t="s">
        <v>171</v>
      </c>
      <c r="G50" s="12" t="s">
        <v>151</v>
      </c>
      <c r="J50" s="13" t="s">
        <v>152</v>
      </c>
      <c r="K50" s="5">
        <v>15</v>
      </c>
    </row>
    <row r="51" spans="1:11" ht="12.75" x14ac:dyDescent="0.2">
      <c r="A51" s="2"/>
      <c r="B51" s="5">
        <v>1</v>
      </c>
      <c r="C51" s="5"/>
      <c r="D51" s="4"/>
      <c r="E51" s="5" t="str">
        <f>IFERROR(VLOOKUP(D51,Cat2A[],2,FALSE),"")</f>
        <v/>
      </c>
      <c r="F51" s="5" t="str">
        <f>IF(E51="","",E51/10)</f>
        <v/>
      </c>
      <c r="G51" s="5" t="str">
        <f t="shared" ref="G51:G71" si="5">"2027-28"</f>
        <v>2027-28</v>
      </c>
    </row>
    <row r="52" spans="1:11" ht="12.75" x14ac:dyDescent="0.2">
      <c r="A52" s="2"/>
      <c r="B52" s="5">
        <v>2</v>
      </c>
      <c r="C52" s="5"/>
      <c r="D52" s="4"/>
      <c r="E52" s="5" t="str">
        <f>IFERROR(VLOOKUP(D52,Cat2A[],2,FALSE),"")</f>
        <v/>
      </c>
      <c r="F52" s="5" t="str">
        <f>IF(E52="","",E52/10)</f>
        <v/>
      </c>
      <c r="G52" s="5" t="str">
        <f t="shared" si="5"/>
        <v>2027-28</v>
      </c>
    </row>
    <row r="53" spans="1:11" ht="12.75" x14ac:dyDescent="0.2">
      <c r="A53" s="2"/>
      <c r="B53" s="5">
        <v>3</v>
      </c>
      <c r="C53" s="5"/>
      <c r="D53" s="4"/>
      <c r="E53" s="5" t="str">
        <f>IFERROR(VLOOKUP(D53,Cat2A[],2,FALSE),"")</f>
        <v/>
      </c>
      <c r="F53" s="5" t="str">
        <f>IF(E53="","",E53/10)</f>
        <v/>
      </c>
      <c r="G53" s="5" t="str">
        <f t="shared" si="5"/>
        <v>2027-28</v>
      </c>
    </row>
    <row r="54" spans="1:11" ht="12.75" x14ac:dyDescent="0.2">
      <c r="A54" s="2"/>
      <c r="B54" s="5">
        <v>4</v>
      </c>
      <c r="C54" s="5"/>
      <c r="D54" s="4"/>
      <c r="E54" s="5" t="str">
        <f>IFERROR(VLOOKUP(D54,Cat2A[],2,FALSE),"")</f>
        <v/>
      </c>
      <c r="F54" s="5" t="str">
        <f>IF(E54="","",E54/10)</f>
        <v/>
      </c>
      <c r="G54" s="5" t="str">
        <f t="shared" si="5"/>
        <v>2027-28</v>
      </c>
    </row>
    <row r="55" spans="1:11" ht="12.75" x14ac:dyDescent="0.2">
      <c r="A55" s="2"/>
      <c r="B55" s="5">
        <v>5</v>
      </c>
      <c r="C55" s="5"/>
      <c r="D55" s="4"/>
      <c r="E55" s="5" t="str">
        <f>IFERROR(VLOOKUP(D55,Cat2A[],2,FALSE),"")</f>
        <v/>
      </c>
      <c r="F55" s="5" t="str">
        <f>IF(E55="","",E55/10)</f>
        <v/>
      </c>
      <c r="G55" s="5" t="str">
        <f t="shared" si="5"/>
        <v>2027-28</v>
      </c>
    </row>
    <row r="56" spans="1:11" ht="12.75" x14ac:dyDescent="0.2">
      <c r="A56" s="2"/>
      <c r="B56" s="5">
        <v>6</v>
      </c>
      <c r="C56" s="5"/>
      <c r="D56" s="4"/>
      <c r="E56" s="5" t="str">
        <f>IFERROR(VLOOKUP(D56,Cat2A[],2,FALSE),"")</f>
        <v/>
      </c>
      <c r="F56" s="5" t="str">
        <f>IF(E56="","",E56/10)</f>
        <v/>
      </c>
      <c r="G56" s="5" t="str">
        <f t="shared" si="5"/>
        <v>2027-28</v>
      </c>
    </row>
    <row r="57" spans="1:11" ht="12.75" x14ac:dyDescent="0.2">
      <c r="A57" s="2"/>
      <c r="B57" s="5">
        <v>7</v>
      </c>
      <c r="C57" s="5"/>
      <c r="D57" s="4"/>
      <c r="E57" s="5" t="str">
        <f>IFERROR(VLOOKUP(D57,Cat2A[],2,FALSE),"")</f>
        <v/>
      </c>
      <c r="F57" s="5" t="str">
        <f>IF(E57="","",E57/10)</f>
        <v/>
      </c>
      <c r="G57" s="5" t="str">
        <f t="shared" si="5"/>
        <v>2027-28</v>
      </c>
    </row>
    <row r="58" spans="1:11" ht="12.75" x14ac:dyDescent="0.2">
      <c r="A58" s="2"/>
      <c r="B58" s="5">
        <v>8</v>
      </c>
      <c r="C58" s="5"/>
      <c r="D58" s="4"/>
      <c r="E58" s="5" t="str">
        <f>IFERROR(VLOOKUP(D58,Cat2A[],2,FALSE),"")</f>
        <v/>
      </c>
      <c r="F58" s="5" t="str">
        <f>IF(E58="","",E58/10)</f>
        <v/>
      </c>
      <c r="G58" s="5" t="str">
        <f t="shared" si="5"/>
        <v>2027-28</v>
      </c>
    </row>
    <row r="59" spans="1:11" ht="12.75" x14ac:dyDescent="0.2">
      <c r="A59" s="2"/>
      <c r="B59" s="5">
        <v>9</v>
      </c>
      <c r="C59" s="5"/>
      <c r="D59" s="4"/>
      <c r="E59" s="5" t="str">
        <f>IFERROR(VLOOKUP(D59,Cat2A[],2,FALSE),"")</f>
        <v/>
      </c>
      <c r="F59" s="5" t="str">
        <f>IF(E59="","",E59/10)</f>
        <v/>
      </c>
      <c r="G59" s="5" t="str">
        <f t="shared" si="5"/>
        <v>2027-28</v>
      </c>
    </row>
    <row r="60" spans="1:11" ht="12.75" x14ac:dyDescent="0.2">
      <c r="A60" s="2"/>
      <c r="B60" s="5">
        <v>10</v>
      </c>
      <c r="C60" s="5"/>
      <c r="D60" s="4"/>
      <c r="E60" s="5" t="str">
        <f>IFERROR(VLOOKUP(D60,Cat2A[],2,FALSE),"")</f>
        <v/>
      </c>
      <c r="F60" s="5" t="str">
        <f>IF(E60="","",E60/10)</f>
        <v/>
      </c>
      <c r="G60" s="5" t="str">
        <f t="shared" si="5"/>
        <v>2027-28</v>
      </c>
    </row>
    <row r="61" spans="1:11" ht="12.75" x14ac:dyDescent="0.2">
      <c r="A61" s="2"/>
      <c r="B61" s="5">
        <v>11</v>
      </c>
      <c r="C61" s="5"/>
      <c r="D61" s="4"/>
      <c r="E61" s="5" t="str">
        <f>IFERROR(VLOOKUP(D61,Cat2A[],2,FALSE),"")</f>
        <v/>
      </c>
      <c r="F61" s="5" t="str">
        <f>IF(E61="","",E61/10)</f>
        <v/>
      </c>
      <c r="G61" s="5" t="str">
        <f t="shared" si="5"/>
        <v>2027-28</v>
      </c>
    </row>
    <row r="62" spans="1:11" ht="12.75" x14ac:dyDescent="0.2">
      <c r="A62" s="2"/>
      <c r="B62" s="5">
        <v>12</v>
      </c>
      <c r="C62" s="5"/>
      <c r="D62" s="4"/>
      <c r="E62" s="5" t="str">
        <f>IFERROR(VLOOKUP(D62,Cat2A[],2,FALSE),"")</f>
        <v/>
      </c>
      <c r="F62" s="5" t="str">
        <f>IF(E62="","",E62/10)</f>
        <v/>
      </c>
      <c r="G62" s="5" t="str">
        <f t="shared" si="5"/>
        <v>2027-28</v>
      </c>
    </row>
    <row r="63" spans="1:11" ht="12.75" x14ac:dyDescent="0.2">
      <c r="A63" s="2"/>
      <c r="B63" s="5">
        <v>13</v>
      </c>
      <c r="C63" s="5"/>
      <c r="D63" s="4"/>
      <c r="E63" s="5" t="str">
        <f>IFERROR(VLOOKUP(D63,Cat2A[],2,FALSE),"")</f>
        <v/>
      </c>
      <c r="F63" s="5" t="str">
        <f>IF(E63="","",E63/10)</f>
        <v/>
      </c>
      <c r="G63" s="5" t="str">
        <f t="shared" si="5"/>
        <v>2027-28</v>
      </c>
    </row>
    <row r="64" spans="1:11" ht="12.75" x14ac:dyDescent="0.2">
      <c r="A64" s="2"/>
      <c r="B64" s="5">
        <v>14</v>
      </c>
      <c r="C64" s="5"/>
      <c r="D64" s="4"/>
      <c r="E64" s="5" t="str">
        <f>IFERROR(VLOOKUP(D64,Cat2A[],2,FALSE),"")</f>
        <v/>
      </c>
      <c r="F64" s="5" t="str">
        <f>IF(E64="","",E64/10)</f>
        <v/>
      </c>
      <c r="G64" s="5" t="str">
        <f t="shared" si="5"/>
        <v>2027-28</v>
      </c>
    </row>
    <row r="65" spans="1:11" ht="12.75" x14ac:dyDescent="0.2">
      <c r="A65" s="2"/>
      <c r="B65" s="5">
        <v>15</v>
      </c>
      <c r="C65" s="5"/>
      <c r="D65" s="4"/>
      <c r="E65" s="5" t="str">
        <f>IFERROR(VLOOKUP(D65,Cat2A[],2,FALSE),"")</f>
        <v/>
      </c>
      <c r="F65" s="5" t="str">
        <f>IF(E65="","",E65/10)</f>
        <v/>
      </c>
      <c r="G65" s="5" t="str">
        <f t="shared" si="5"/>
        <v>2027-28</v>
      </c>
    </row>
    <row r="66" spans="1:11" ht="12.75" x14ac:dyDescent="0.2">
      <c r="A66" s="2"/>
      <c r="B66" s="5">
        <v>16</v>
      </c>
      <c r="C66" s="5"/>
      <c r="D66" s="4"/>
      <c r="E66" s="5" t="str">
        <f>IFERROR(VLOOKUP(D66,Cat2A[],2,FALSE),"")</f>
        <v/>
      </c>
      <c r="F66" s="5" t="str">
        <f>IF(E66="","",E66/10)</f>
        <v/>
      </c>
      <c r="G66" s="5" t="str">
        <f t="shared" si="5"/>
        <v>2027-28</v>
      </c>
    </row>
    <row r="67" spans="1:11" ht="12.75" x14ac:dyDescent="0.2">
      <c r="A67" s="2"/>
      <c r="B67" s="5">
        <v>17</v>
      </c>
      <c r="C67" s="5"/>
      <c r="D67" s="4"/>
      <c r="E67" s="5" t="str">
        <f>IFERROR(VLOOKUP(D67,Cat2A[],2,FALSE),"")</f>
        <v/>
      </c>
      <c r="F67" s="5" t="str">
        <f>IF(E67="","",E67/10)</f>
        <v/>
      </c>
      <c r="G67" s="5" t="str">
        <f t="shared" si="5"/>
        <v>2027-28</v>
      </c>
    </row>
    <row r="68" spans="1:11" ht="12.75" x14ac:dyDescent="0.2">
      <c r="A68" s="2"/>
      <c r="B68" s="5">
        <v>18</v>
      </c>
      <c r="C68" s="5"/>
      <c r="D68" s="4"/>
      <c r="E68" s="5" t="str">
        <f>IFERROR(VLOOKUP(D68,Cat2A[],2,FALSE),"")</f>
        <v/>
      </c>
      <c r="F68" s="5" t="str">
        <f>IF(E68="","",E68/10)</f>
        <v/>
      </c>
      <c r="G68" s="5" t="str">
        <f t="shared" si="5"/>
        <v>2027-28</v>
      </c>
    </row>
    <row r="69" spans="1:11" ht="12.75" x14ac:dyDescent="0.2">
      <c r="A69" s="2"/>
      <c r="B69" s="5">
        <v>19</v>
      </c>
      <c r="C69" s="5"/>
      <c r="D69" s="4"/>
      <c r="E69" s="5" t="str">
        <f>IFERROR(VLOOKUP(D69,Cat2A[],2,FALSE),"")</f>
        <v/>
      </c>
      <c r="F69" s="5" t="str">
        <f>IF(E69="","",E69/10)</f>
        <v/>
      </c>
      <c r="G69" s="5" t="str">
        <f t="shared" si="5"/>
        <v>2027-28</v>
      </c>
    </row>
    <row r="70" spans="1:11" ht="12.75" x14ac:dyDescent="0.2">
      <c r="A70" s="2"/>
      <c r="B70" s="5">
        <v>20</v>
      </c>
      <c r="C70" s="5"/>
      <c r="D70" s="4"/>
      <c r="E70" s="5" t="str">
        <f>IFERROR(VLOOKUP(D70,Cat2A[],2,FALSE),"")</f>
        <v/>
      </c>
      <c r="F70" s="5" t="str">
        <f>IF(E70="","",E70/10)</f>
        <v/>
      </c>
      <c r="G70" s="5" t="str">
        <f t="shared" si="5"/>
        <v>2027-28</v>
      </c>
    </row>
    <row r="71" spans="1:11" ht="12.75" x14ac:dyDescent="0.2">
      <c r="A71" s="2"/>
      <c r="B71" s="5">
        <v>21</v>
      </c>
      <c r="C71" s="5"/>
      <c r="D71" s="4"/>
      <c r="E71" s="5" t="str">
        <f>IFERROR(VLOOKUP(D71,Cat2A[],2,FALSE),"")</f>
        <v/>
      </c>
      <c r="F71" s="5" t="str">
        <f>IF(E71="","",E71/10)</f>
        <v/>
      </c>
      <c r="G71" s="5" t="str">
        <f t="shared" si="5"/>
        <v>2027-28</v>
      </c>
    </row>
    <row r="72" spans="1:11" ht="12.75" x14ac:dyDescent="0.2">
      <c r="A72" s="2"/>
      <c r="B72" s="2"/>
      <c r="D72" s="13" t="s">
        <v>163</v>
      </c>
      <c r="E72" s="4">
        <f t="shared" ref="E72:F72" si="6">SUM(E51:E71)</f>
        <v>0</v>
      </c>
      <c r="F72" s="4">
        <f t="shared" si="6"/>
        <v>0</v>
      </c>
      <c r="G72" s="31" t="s">
        <v>172</v>
      </c>
    </row>
    <row r="73" spans="1:11" ht="12.75" x14ac:dyDescent="0.2">
      <c r="A73" s="2"/>
      <c r="B73" s="2"/>
      <c r="D73" s="13" t="s">
        <v>15</v>
      </c>
      <c r="E73" s="46">
        <f>F72</f>
        <v>0</v>
      </c>
      <c r="F73" s="42"/>
      <c r="G73" s="31">
        <f>MIN(E73,K50)</f>
        <v>0</v>
      </c>
    </row>
    <row r="74" spans="1:11" ht="12.75" x14ac:dyDescent="0.2">
      <c r="A74" s="2"/>
      <c r="B74" s="2"/>
    </row>
    <row r="75" spans="1:11" ht="12.75" x14ac:dyDescent="0.2">
      <c r="A75" s="1" t="s">
        <v>156</v>
      </c>
      <c r="B75" s="1" t="s">
        <v>173</v>
      </c>
    </row>
    <row r="76" spans="1:11" ht="12.75" x14ac:dyDescent="0.2">
      <c r="A76" s="2"/>
      <c r="B76" s="2"/>
    </row>
    <row r="77" spans="1:11" ht="12.75" x14ac:dyDescent="0.2">
      <c r="A77" s="1"/>
      <c r="B77" s="12" t="s">
        <v>146</v>
      </c>
      <c r="C77" s="12" t="s">
        <v>169</v>
      </c>
      <c r="D77" s="12" t="s">
        <v>174</v>
      </c>
      <c r="E77" s="32" t="s">
        <v>175</v>
      </c>
      <c r="F77" s="12" t="s">
        <v>46</v>
      </c>
      <c r="G77" s="12" t="s">
        <v>171</v>
      </c>
      <c r="H77" s="12" t="s">
        <v>151</v>
      </c>
      <c r="J77" s="13" t="s">
        <v>152</v>
      </c>
      <c r="K77" s="5">
        <v>15</v>
      </c>
    </row>
    <row r="78" spans="1:11" ht="12.75" x14ac:dyDescent="0.2">
      <c r="A78" s="1"/>
      <c r="B78" s="5">
        <v>1</v>
      </c>
      <c r="C78" s="5"/>
      <c r="D78" s="4"/>
      <c r="E78" s="5"/>
      <c r="F78" s="5" t="str">
        <f>IF(OR(D78="",E78=""),"",E78*IFERROR(VLOOKUP(D78,Cat2B[],2,FALSE),""))</f>
        <v/>
      </c>
      <c r="G78" s="5" t="str">
        <f>IF(F78="","",F78/10)</f>
        <v/>
      </c>
      <c r="H78" s="5" t="str">
        <f t="shared" ref="H78:H87" si="7">"2027-28"</f>
        <v>2027-28</v>
      </c>
      <c r="I78" s="2"/>
    </row>
    <row r="79" spans="1:11" ht="12.75" x14ac:dyDescent="0.2">
      <c r="A79" s="1"/>
      <c r="B79" s="5">
        <v>2</v>
      </c>
      <c r="C79" s="5"/>
      <c r="D79" s="4"/>
      <c r="E79" s="5"/>
      <c r="F79" s="5" t="str">
        <f>IF(OR(D79="",E79=""),"",E79*IFERROR(VLOOKUP(D79,Cat2B[],2,FALSE),""))</f>
        <v/>
      </c>
      <c r="G79" s="5" t="str">
        <f>IF(F79="","",F79/10)</f>
        <v/>
      </c>
      <c r="H79" s="5" t="str">
        <f t="shared" si="7"/>
        <v>2027-28</v>
      </c>
      <c r="I79" s="2"/>
    </row>
    <row r="80" spans="1:11" ht="12.75" x14ac:dyDescent="0.2">
      <c r="A80" s="1"/>
      <c r="B80" s="5">
        <v>3</v>
      </c>
      <c r="C80" s="5"/>
      <c r="D80" s="4"/>
      <c r="E80" s="5"/>
      <c r="F80" s="5" t="str">
        <f>IF(OR(D80="",E80=""),"",E80*IFERROR(VLOOKUP(D80,Cat2B[],2,FALSE),""))</f>
        <v/>
      </c>
      <c r="G80" s="5" t="str">
        <f>IF(F80="","",F80/10)</f>
        <v/>
      </c>
      <c r="H80" s="5" t="str">
        <f t="shared" si="7"/>
        <v>2027-28</v>
      </c>
      <c r="I80" s="2"/>
    </row>
    <row r="81" spans="1:11" ht="12.75" x14ac:dyDescent="0.2">
      <c r="A81" s="1"/>
      <c r="B81" s="5">
        <v>4</v>
      </c>
      <c r="C81" s="5"/>
      <c r="D81" s="4"/>
      <c r="E81" s="5"/>
      <c r="F81" s="5" t="str">
        <f>IF(OR(D81="",E81=""),"",E81*IFERROR(VLOOKUP(D81,Cat2B[],2,FALSE),""))</f>
        <v/>
      </c>
      <c r="G81" s="5" t="str">
        <f>IF(F81="","",F81/10)</f>
        <v/>
      </c>
      <c r="H81" s="5" t="str">
        <f t="shared" si="7"/>
        <v>2027-28</v>
      </c>
      <c r="I81" s="2"/>
    </row>
    <row r="82" spans="1:11" ht="12.75" x14ac:dyDescent="0.2">
      <c r="A82" s="1"/>
      <c r="B82" s="5">
        <v>5</v>
      </c>
      <c r="C82" s="5"/>
      <c r="D82" s="4"/>
      <c r="E82" s="5"/>
      <c r="F82" s="5" t="str">
        <f>IF(OR(D82="",E82=""),"",E82*IFERROR(VLOOKUP(D82,Cat2B[],2,FALSE),""))</f>
        <v/>
      </c>
      <c r="G82" s="5" t="str">
        <f>IF(F82="","",F82/10)</f>
        <v/>
      </c>
      <c r="H82" s="5" t="str">
        <f t="shared" si="7"/>
        <v>2027-28</v>
      </c>
      <c r="I82" s="2"/>
    </row>
    <row r="83" spans="1:11" ht="12.75" x14ac:dyDescent="0.2">
      <c r="A83" s="1"/>
      <c r="B83" s="5">
        <v>6</v>
      </c>
      <c r="C83" s="5"/>
      <c r="D83" s="4"/>
      <c r="E83" s="5"/>
      <c r="F83" s="5" t="str">
        <f>IF(OR(D83="",E83=""),"",E83*IFERROR(VLOOKUP(D83,Cat2B[],2,FALSE),""))</f>
        <v/>
      </c>
      <c r="G83" s="5" t="str">
        <f>IF(F83="","",F83/10)</f>
        <v/>
      </c>
      <c r="H83" s="5" t="str">
        <f t="shared" si="7"/>
        <v>2027-28</v>
      </c>
      <c r="I83" s="2"/>
    </row>
    <row r="84" spans="1:11" ht="12.75" x14ac:dyDescent="0.2">
      <c r="A84" s="1"/>
      <c r="B84" s="5">
        <v>7</v>
      </c>
      <c r="C84" s="5"/>
      <c r="D84" s="4"/>
      <c r="E84" s="5"/>
      <c r="F84" s="5" t="str">
        <f>IF(OR(D84="",E84=""),"",E84*IFERROR(VLOOKUP(D84,Cat2B[],2,FALSE),""))</f>
        <v/>
      </c>
      <c r="G84" s="5" t="str">
        <f>IF(F84="","",F84/10)</f>
        <v/>
      </c>
      <c r="H84" s="5" t="str">
        <f t="shared" si="7"/>
        <v>2027-28</v>
      </c>
      <c r="I84" s="2"/>
    </row>
    <row r="85" spans="1:11" ht="12.75" x14ac:dyDescent="0.2">
      <c r="A85" s="1"/>
      <c r="B85" s="5">
        <v>8</v>
      </c>
      <c r="C85" s="5"/>
      <c r="D85" s="4"/>
      <c r="E85" s="5"/>
      <c r="F85" s="5" t="str">
        <f>IF(OR(D85="",E85=""),"",E85*IFERROR(VLOOKUP(D85,Cat2B[],2,FALSE),""))</f>
        <v/>
      </c>
      <c r="G85" s="5" t="str">
        <f>IF(F85="","",F85/10)</f>
        <v/>
      </c>
      <c r="H85" s="5" t="str">
        <f t="shared" si="7"/>
        <v>2027-28</v>
      </c>
      <c r="I85" s="2"/>
    </row>
    <row r="86" spans="1:11" ht="12.75" x14ac:dyDescent="0.2">
      <c r="A86" s="1"/>
      <c r="B86" s="5">
        <v>9</v>
      </c>
      <c r="C86" s="5"/>
      <c r="D86" s="4"/>
      <c r="E86" s="5"/>
      <c r="F86" s="5" t="str">
        <f>IF(OR(D86="",E86=""),"",E86*IFERROR(VLOOKUP(D86,Cat2B[],2,FALSE),""))</f>
        <v/>
      </c>
      <c r="G86" s="5" t="str">
        <f>IF(F86="","",F86/10)</f>
        <v/>
      </c>
      <c r="H86" s="5" t="str">
        <f t="shared" si="7"/>
        <v>2027-28</v>
      </c>
      <c r="I86" s="2"/>
    </row>
    <row r="87" spans="1:11" ht="12.75" x14ac:dyDescent="0.2">
      <c r="A87" s="1"/>
      <c r="B87" s="5">
        <v>10</v>
      </c>
      <c r="C87" s="5"/>
      <c r="D87" s="4"/>
      <c r="E87" s="5"/>
      <c r="F87" s="5" t="str">
        <f>IF(OR(D87="",E87=""),"",E87*IFERROR(VLOOKUP(D87,Cat2B[],2,FALSE),""))</f>
        <v/>
      </c>
      <c r="G87" s="5" t="str">
        <f>IF(F87="","",F87/10)</f>
        <v/>
      </c>
      <c r="H87" s="5" t="str">
        <f t="shared" si="7"/>
        <v>2027-28</v>
      </c>
      <c r="I87" s="2"/>
    </row>
    <row r="88" spans="1:11" ht="12.75" x14ac:dyDescent="0.2">
      <c r="A88" s="1"/>
      <c r="B88" s="2"/>
      <c r="D88" s="13" t="s">
        <v>163</v>
      </c>
      <c r="E88" s="33" t="s">
        <v>29</v>
      </c>
      <c r="F88" s="4">
        <f t="shared" ref="F88:G88" si="8">SUM(F78:F87)</f>
        <v>0</v>
      </c>
      <c r="G88" s="4">
        <f t="shared" si="8"/>
        <v>0</v>
      </c>
      <c r="H88" s="31" t="s">
        <v>176</v>
      </c>
      <c r="I88" s="2"/>
    </row>
    <row r="89" spans="1:11" ht="12.75" x14ac:dyDescent="0.2">
      <c r="A89" s="1"/>
      <c r="B89" s="1"/>
      <c r="D89" s="13" t="s">
        <v>25</v>
      </c>
      <c r="E89" s="46">
        <f>G88</f>
        <v>0</v>
      </c>
      <c r="F89" s="41"/>
      <c r="G89" s="42"/>
      <c r="H89" s="31">
        <f>MIN(G88,K77)</f>
        <v>0</v>
      </c>
    </row>
    <row r="90" spans="1:11" ht="12.75" x14ac:dyDescent="0.2">
      <c r="A90" s="1"/>
      <c r="B90" s="1"/>
    </row>
    <row r="91" spans="1:11" ht="12.75" x14ac:dyDescent="0.2">
      <c r="A91" s="1"/>
      <c r="B91" s="1"/>
    </row>
    <row r="92" spans="1:11" ht="12.75" x14ac:dyDescent="0.2">
      <c r="A92" s="1" t="s">
        <v>165</v>
      </c>
      <c r="B92" s="1" t="s">
        <v>177</v>
      </c>
    </row>
    <row r="94" spans="1:11" ht="12.75" x14ac:dyDescent="0.2">
      <c r="B94" s="12" t="s">
        <v>146</v>
      </c>
      <c r="C94" s="12" t="s">
        <v>169</v>
      </c>
      <c r="D94" s="12" t="s">
        <v>178</v>
      </c>
      <c r="E94" s="12" t="s">
        <v>46</v>
      </c>
      <c r="F94" s="12" t="s">
        <v>171</v>
      </c>
      <c r="G94" s="12" t="s">
        <v>151</v>
      </c>
      <c r="J94" s="13" t="s">
        <v>152</v>
      </c>
      <c r="K94" s="5">
        <v>15</v>
      </c>
    </row>
    <row r="95" spans="1:11" ht="12.75" x14ac:dyDescent="0.2">
      <c r="B95" s="5">
        <v>1</v>
      </c>
      <c r="C95" s="5"/>
      <c r="D95" s="4"/>
      <c r="E95" s="5" t="str">
        <f>IFERROR(VLOOKUP(D95,Cat2C[],2,FALSE),"")</f>
        <v/>
      </c>
      <c r="F95" s="5" t="str">
        <f>IF(E95="","",E95/10)</f>
        <v/>
      </c>
      <c r="G95" s="5" t="str">
        <f t="shared" ref="G95:G102" si="9">"2027-28"</f>
        <v>2027-28</v>
      </c>
    </row>
    <row r="96" spans="1:11" ht="12.75" x14ac:dyDescent="0.2">
      <c r="B96" s="5">
        <v>2</v>
      </c>
      <c r="C96" s="5"/>
      <c r="D96" s="4"/>
      <c r="E96" s="5" t="str">
        <f>IFERROR(VLOOKUP(D96,Cat2C[],2,FALSE),"")</f>
        <v/>
      </c>
      <c r="F96" s="5" t="str">
        <f>IF(E96="","",E96/10)</f>
        <v/>
      </c>
      <c r="G96" s="5" t="str">
        <f t="shared" si="9"/>
        <v>2027-28</v>
      </c>
    </row>
    <row r="97" spans="1:11" ht="12.75" x14ac:dyDescent="0.2">
      <c r="B97" s="5">
        <v>3</v>
      </c>
      <c r="C97" s="5"/>
      <c r="D97" s="4"/>
      <c r="E97" s="5" t="str">
        <f>IFERROR(VLOOKUP(D97,Cat2C[],2,FALSE),"")</f>
        <v/>
      </c>
      <c r="F97" s="5" t="str">
        <f>IF(E97="","",E97/10)</f>
        <v/>
      </c>
      <c r="G97" s="5" t="str">
        <f t="shared" si="9"/>
        <v>2027-28</v>
      </c>
    </row>
    <row r="98" spans="1:11" ht="12.75" x14ac:dyDescent="0.2">
      <c r="B98" s="5">
        <v>4</v>
      </c>
      <c r="C98" s="5"/>
      <c r="D98" s="4"/>
      <c r="E98" s="5" t="str">
        <f>IFERROR(VLOOKUP(D98,Cat2C[],2,FALSE),"")</f>
        <v/>
      </c>
      <c r="F98" s="5" t="str">
        <f>IF(E98="","",E98/10)</f>
        <v/>
      </c>
      <c r="G98" s="5" t="str">
        <f t="shared" si="9"/>
        <v>2027-28</v>
      </c>
    </row>
    <row r="99" spans="1:11" ht="12.75" x14ac:dyDescent="0.2">
      <c r="B99" s="5">
        <v>5</v>
      </c>
      <c r="C99" s="5"/>
      <c r="D99" s="4"/>
      <c r="E99" s="5" t="str">
        <f>IFERROR(VLOOKUP(D99,Cat2C[],2,FALSE),"")</f>
        <v/>
      </c>
      <c r="F99" s="5" t="str">
        <f>IF(E99="","",E99/10)</f>
        <v/>
      </c>
      <c r="G99" s="5" t="str">
        <f t="shared" si="9"/>
        <v>2027-28</v>
      </c>
    </row>
    <row r="100" spans="1:11" ht="12.75" x14ac:dyDescent="0.2">
      <c r="B100" s="5">
        <v>6</v>
      </c>
      <c r="C100" s="5"/>
      <c r="D100" s="4"/>
      <c r="E100" s="5" t="str">
        <f>IFERROR(VLOOKUP(D100,Cat2C[],2,FALSE),"")</f>
        <v/>
      </c>
      <c r="F100" s="5" t="str">
        <f>IF(E100="","",E100/10)</f>
        <v/>
      </c>
      <c r="G100" s="5" t="str">
        <f t="shared" si="9"/>
        <v>2027-28</v>
      </c>
    </row>
    <row r="101" spans="1:11" ht="12.75" x14ac:dyDescent="0.2">
      <c r="B101" s="5">
        <v>7</v>
      </c>
      <c r="C101" s="5"/>
      <c r="D101" s="4"/>
      <c r="E101" s="5" t="str">
        <f>IFERROR(VLOOKUP(D101,Cat2C[],2,FALSE),"")</f>
        <v/>
      </c>
      <c r="F101" s="5" t="str">
        <f>IF(E101="","",E101/10)</f>
        <v/>
      </c>
      <c r="G101" s="5" t="str">
        <f t="shared" si="9"/>
        <v>2027-28</v>
      </c>
    </row>
    <row r="102" spans="1:11" ht="12.75" x14ac:dyDescent="0.2">
      <c r="B102" s="5">
        <v>8</v>
      </c>
      <c r="C102" s="5"/>
      <c r="D102" s="4"/>
      <c r="E102" s="5" t="str">
        <f>IFERROR(VLOOKUP(D102,Cat2C[],2,FALSE),"")</f>
        <v/>
      </c>
      <c r="F102" s="5" t="str">
        <f>IF(E102="","",E102/10)</f>
        <v/>
      </c>
      <c r="G102" s="5" t="str">
        <f t="shared" si="9"/>
        <v>2027-28</v>
      </c>
    </row>
    <row r="103" spans="1:11" ht="12.75" x14ac:dyDescent="0.2">
      <c r="D103" s="13" t="s">
        <v>163</v>
      </c>
      <c r="E103" s="4">
        <f t="shared" ref="E103:F103" si="10">SUM(E95:E102)</f>
        <v>0</v>
      </c>
      <c r="F103" s="4">
        <f t="shared" si="10"/>
        <v>0</v>
      </c>
      <c r="G103" s="31" t="s">
        <v>179</v>
      </c>
    </row>
    <row r="104" spans="1:11" ht="12.75" x14ac:dyDescent="0.2">
      <c r="D104" s="13" t="s">
        <v>17</v>
      </c>
      <c r="E104" s="46">
        <f>F103</f>
        <v>0</v>
      </c>
      <c r="F104" s="42"/>
      <c r="G104" s="31">
        <f>MIN(E104,K94)</f>
        <v>0</v>
      </c>
    </row>
    <row r="106" spans="1:11" ht="12.75" x14ac:dyDescent="0.2">
      <c r="B106" s="12" t="s">
        <v>15</v>
      </c>
      <c r="C106" s="12" t="s">
        <v>16</v>
      </c>
      <c r="D106" s="12" t="s">
        <v>17</v>
      </c>
      <c r="E106" s="34" t="s">
        <v>180</v>
      </c>
    </row>
    <row r="107" spans="1:11" ht="12.75" x14ac:dyDescent="0.2">
      <c r="B107" s="5">
        <f>G73</f>
        <v>0</v>
      </c>
      <c r="C107" s="5">
        <f>H89</f>
        <v>0</v>
      </c>
      <c r="D107" s="5">
        <f>G104</f>
        <v>0</v>
      </c>
      <c r="E107" s="5">
        <f>SUM(B107:D107)</f>
        <v>0</v>
      </c>
    </row>
    <row r="109" spans="1:11" ht="20.25" x14ac:dyDescent="0.3">
      <c r="A109" s="38" t="s">
        <v>19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2.75" x14ac:dyDescent="0.2">
      <c r="A110" s="1"/>
      <c r="B110" s="1"/>
    </row>
    <row r="111" spans="1:11" ht="12.75" x14ac:dyDescent="0.2">
      <c r="A111" s="1" t="s">
        <v>144</v>
      </c>
      <c r="B111" s="1" t="s">
        <v>181</v>
      </c>
    </row>
    <row r="112" spans="1:11" ht="12.75" x14ac:dyDescent="0.2">
      <c r="A112" s="1"/>
      <c r="B112" s="1"/>
    </row>
    <row r="113" spans="1:9" ht="12.75" x14ac:dyDescent="0.2">
      <c r="A113" s="1"/>
      <c r="B113" s="12" t="s">
        <v>146</v>
      </c>
      <c r="C113" s="12" t="s">
        <v>182</v>
      </c>
      <c r="D113" s="12" t="s">
        <v>183</v>
      </c>
      <c r="E113" s="12" t="s">
        <v>184</v>
      </c>
      <c r="F113" s="12" t="s">
        <v>83</v>
      </c>
      <c r="G113" s="12" t="s">
        <v>185</v>
      </c>
      <c r="H113" s="12" t="s">
        <v>171</v>
      </c>
      <c r="I113" s="12" t="s">
        <v>151</v>
      </c>
    </row>
    <row r="114" spans="1:9" ht="12.75" x14ac:dyDescent="0.2">
      <c r="A114" s="1"/>
      <c r="B114" s="4"/>
      <c r="C114" s="5"/>
      <c r="D114" s="5"/>
      <c r="E114" s="5"/>
      <c r="F114" s="5"/>
      <c r="G114" s="5"/>
      <c r="H114" s="5" t="str">
        <f>IF(OR(F114="",G114=""),"",SUMIFS(Lookup!$C$40:$C$57,Lookup!$A$40:$A$57,F114,Lookup!$B$40:$B$57,G114))</f>
        <v/>
      </c>
      <c r="I114" s="5" t="str">
        <f>"2027-28"</f>
        <v>2027-28</v>
      </c>
    </row>
    <row r="115" spans="1:9" ht="12.75" x14ac:dyDescent="0.2">
      <c r="A115" s="1"/>
      <c r="B115" s="1"/>
      <c r="G115" s="13" t="s">
        <v>163</v>
      </c>
      <c r="H115" s="4">
        <f>SUM(H114)</f>
        <v>0</v>
      </c>
      <c r="I115" s="4"/>
    </row>
    <row r="116" spans="1:9" ht="12.75" x14ac:dyDescent="0.2">
      <c r="A116" s="1"/>
      <c r="B116" s="1"/>
    </row>
    <row r="117" spans="1:9" ht="12.75" x14ac:dyDescent="0.2">
      <c r="A117" s="1" t="s">
        <v>156</v>
      </c>
      <c r="B117" s="1" t="s">
        <v>186</v>
      </c>
    </row>
    <row r="119" spans="1:9" ht="12.75" x14ac:dyDescent="0.2">
      <c r="B119" s="12" t="s">
        <v>146</v>
      </c>
      <c r="C119" s="12" t="s">
        <v>187</v>
      </c>
      <c r="D119" s="12" t="s">
        <v>85</v>
      </c>
      <c r="E119" s="12" t="s">
        <v>45</v>
      </c>
      <c r="F119" s="12" t="s">
        <v>171</v>
      </c>
      <c r="G119" s="12" t="s">
        <v>151</v>
      </c>
    </row>
    <row r="120" spans="1:9" ht="14.25" x14ac:dyDescent="0.2">
      <c r="B120" s="5">
        <v>1</v>
      </c>
      <c r="C120" s="5"/>
      <c r="D120" s="4"/>
      <c r="E120" s="35"/>
      <c r="F120" s="5" t="str">
        <f>IF(OR(D120="",E120=""),"",SUMIFS(Lookup!$G$40:$G$81,Lookup!$E$40:$E$81,D120,Lookup!$F$40:$F$81,E120))</f>
        <v/>
      </c>
      <c r="G120" s="5" t="str">
        <f t="shared" ref="G120:G128" si="11">"2027-28"</f>
        <v>2027-28</v>
      </c>
    </row>
    <row r="121" spans="1:9" ht="14.25" x14ac:dyDescent="0.2">
      <c r="B121" s="5">
        <v>2</v>
      </c>
      <c r="C121" s="5"/>
      <c r="D121" s="4"/>
      <c r="E121" s="35"/>
      <c r="F121" s="5" t="str">
        <f>IF(OR(D121="",E121=""),"",SUMIFS(Lookup!$G$40:$G$81,Lookup!$E$40:$E$81,D121,Lookup!$F$40:$F$81,E121))</f>
        <v/>
      </c>
      <c r="G121" s="5" t="str">
        <f t="shared" si="11"/>
        <v>2027-28</v>
      </c>
    </row>
    <row r="122" spans="1:9" ht="14.25" x14ac:dyDescent="0.2">
      <c r="B122" s="5">
        <v>3</v>
      </c>
      <c r="C122" s="5"/>
      <c r="D122" s="4"/>
      <c r="E122" s="35"/>
      <c r="F122" s="5" t="str">
        <f>IF(OR(D122="",E122=""),"",SUMIFS(Lookup!$G$40:$G$81,Lookup!$E$40:$E$81,D122,Lookup!$F$40:$F$81,E122))</f>
        <v/>
      </c>
      <c r="G122" s="5" t="str">
        <f t="shared" si="11"/>
        <v>2027-28</v>
      </c>
    </row>
    <row r="123" spans="1:9" ht="14.25" x14ac:dyDescent="0.2">
      <c r="B123" s="5">
        <v>4</v>
      </c>
      <c r="C123" s="5"/>
      <c r="D123" s="4"/>
      <c r="E123" s="35"/>
      <c r="F123" s="5" t="str">
        <f>IF(OR(D123="",E123=""),"",SUMIFS(Lookup!$G$40:$G$81,Lookup!$E$40:$E$81,D123,Lookup!$F$40:$F$81,E123))</f>
        <v/>
      </c>
      <c r="G123" s="5" t="str">
        <f t="shared" si="11"/>
        <v>2027-28</v>
      </c>
    </row>
    <row r="124" spans="1:9" ht="14.25" x14ac:dyDescent="0.2">
      <c r="B124" s="5">
        <v>5</v>
      </c>
      <c r="C124" s="5"/>
      <c r="D124" s="4"/>
      <c r="E124" s="35"/>
      <c r="F124" s="5" t="str">
        <f>IF(OR(D124="",E124=""),"",SUMIFS(Lookup!$G$40:$G$81,Lookup!$E$40:$E$81,D124,Lookup!$F$40:$F$81,E124))</f>
        <v/>
      </c>
      <c r="G124" s="5" t="str">
        <f t="shared" si="11"/>
        <v>2027-28</v>
      </c>
    </row>
    <row r="125" spans="1:9" ht="14.25" x14ac:dyDescent="0.2">
      <c r="B125" s="5">
        <v>6</v>
      </c>
      <c r="C125" s="5"/>
      <c r="D125" s="4"/>
      <c r="E125" s="35"/>
      <c r="F125" s="5" t="str">
        <f>IF(OR(D125="",E125=""),"",SUMIFS(Lookup!$G$40:$G$81,Lookup!$E$40:$E$81,D125,Lookup!$F$40:$F$81,E125))</f>
        <v/>
      </c>
      <c r="G125" s="5" t="str">
        <f t="shared" si="11"/>
        <v>2027-28</v>
      </c>
    </row>
    <row r="126" spans="1:9" ht="14.25" x14ac:dyDescent="0.2">
      <c r="B126" s="5">
        <v>7</v>
      </c>
      <c r="C126" s="5"/>
      <c r="D126" s="4"/>
      <c r="E126" s="35"/>
      <c r="F126" s="5" t="str">
        <f>IF(OR(D126="",E126=""),"",SUMIFS(Lookup!$G$40:$G$81,Lookup!$E$40:$E$81,D126,Lookup!$F$40:$F$81,E126))</f>
        <v/>
      </c>
      <c r="G126" s="5" t="str">
        <f t="shared" si="11"/>
        <v>2027-28</v>
      </c>
    </row>
    <row r="127" spans="1:9" ht="14.25" x14ac:dyDescent="0.2">
      <c r="B127" s="5">
        <v>8</v>
      </c>
      <c r="C127" s="5"/>
      <c r="D127" s="4"/>
      <c r="E127" s="35"/>
      <c r="F127" s="5" t="str">
        <f>IF(OR(D127="",E127=""),"",SUMIFS(Lookup!$G$40:$G$81,Lookup!$E$40:$E$81,D127,Lookup!$F$40:$F$81,E127))</f>
        <v/>
      </c>
      <c r="G127" s="5" t="str">
        <f t="shared" si="11"/>
        <v>2027-28</v>
      </c>
    </row>
    <row r="128" spans="1:9" ht="14.25" x14ac:dyDescent="0.2">
      <c r="B128" s="5">
        <v>9</v>
      </c>
      <c r="C128" s="5"/>
      <c r="D128" s="4"/>
      <c r="E128" s="35"/>
      <c r="F128" s="5" t="str">
        <f>IF(OR(D128="",E128=""),"",SUMIFS(Lookup!$G$40:$G$81,Lookup!$E$40:$E$81,D128,Lookup!$F$40:$F$81,E128))</f>
        <v/>
      </c>
      <c r="G128" s="5" t="str">
        <f t="shared" si="11"/>
        <v>2027-28</v>
      </c>
    </row>
    <row r="129" spans="2:7" ht="12.75" x14ac:dyDescent="0.2">
      <c r="E129" s="13" t="s">
        <v>163</v>
      </c>
      <c r="F129" s="4">
        <f>SUM(F120:F128)</f>
        <v>0</v>
      </c>
      <c r="G129" s="4"/>
    </row>
    <row r="131" spans="2:7" ht="12.75" x14ac:dyDescent="0.2">
      <c r="B131" s="12" t="s">
        <v>188</v>
      </c>
      <c r="C131" s="12" t="s">
        <v>189</v>
      </c>
      <c r="D131" s="34" t="s">
        <v>190</v>
      </c>
    </row>
    <row r="132" spans="2:7" ht="12.75" x14ac:dyDescent="0.2">
      <c r="B132" s="5">
        <f>H115</f>
        <v>0</v>
      </c>
      <c r="C132" s="5">
        <f>F129</f>
        <v>0</v>
      </c>
      <c r="D132" s="5">
        <f>SUM(B132:C132)</f>
        <v>0</v>
      </c>
    </row>
    <row r="149" spans="2:7" ht="12.75" x14ac:dyDescent="0.2">
      <c r="B149" s="4" t="s">
        <v>138</v>
      </c>
      <c r="C149" s="4" t="s">
        <v>139</v>
      </c>
      <c r="D149" s="1" t="s">
        <v>140</v>
      </c>
      <c r="E149" s="1" t="s">
        <v>141</v>
      </c>
    </row>
    <row r="150" spans="2:7" ht="12.75" x14ac:dyDescent="0.2">
      <c r="B150" s="5" t="s">
        <v>142</v>
      </c>
      <c r="C150" s="5" t="s">
        <v>142</v>
      </c>
      <c r="D150" s="5" t="s">
        <v>142</v>
      </c>
      <c r="E150" s="5" t="s">
        <v>142</v>
      </c>
    </row>
    <row r="151" spans="2:7" ht="12.75" x14ac:dyDescent="0.2">
      <c r="B151" s="5" t="e">
        <f t="array" aca="1" ref="B151:B156" ca="1">_xludf.UNIQUE(INDEX(Cat3A[],,1))</f>
        <v>#NAME?</v>
      </c>
      <c r="C151" s="5" t="str">
        <f ca="1">IFERROR(__xludf.DUMMYFUNCTION("UNIQUE(FILTER(INDEX(Cat3A,,2),INDEX(Cat3A,,1)=F114))"),"#N/A")</f>
        <v>#N/A</v>
      </c>
      <c r="D151" s="2" t="e">
        <f t="array" aca="1" ref="D151:D161" ca="1">_xludf.UNIQUE(INDEX(Cat3B[],,1))</f>
        <v>#NAME?</v>
      </c>
      <c r="E151" s="2" t="str">
        <f ca="1">IFERROR(__xludf.DUMMYFUNCTION("TRANSPOSE(UNIQUE(FILTER(INDEX(Cat3B,,2),INDEX(Cat3B,,1)=D120)))"),"International Award / Fellowship from Academic Bodies/Associations")</f>
        <v>International Award / Fellowship from Academic Bodies/Associations</v>
      </c>
      <c r="F151" s="2" t="str">
        <f ca="1">IFERROR(__xludf.DUMMYFUNCTION("""COMPUTED_VALUE"""),"National Award / Fellowship from Academic Bodies/Associations")</f>
        <v>National Award / Fellowship from Academic Bodies/Associations</v>
      </c>
      <c r="G151" s="2" t="str">
        <f ca="1">IFERROR(__xludf.DUMMYFUNCTION("""COMPUTED_VALUE"""),"State / University Award/Fellowship from Academic Bodies/Associations")</f>
        <v>State / University Award/Fellowship from Academic Bodies/Associations</v>
      </c>
    </row>
    <row r="152" spans="2:7" ht="12.75" x14ac:dyDescent="0.2">
      <c r="B152" s="5" t="e">
        <f ca="1"/>
        <v>#NAME?</v>
      </c>
      <c r="C152" s="5"/>
      <c r="D152" s="2" t="e">
        <f ca="1"/>
        <v>#NAME?</v>
      </c>
    </row>
    <row r="153" spans="2:7" ht="12.75" x14ac:dyDescent="0.2">
      <c r="B153" s="5" t="e">
        <f ca="1"/>
        <v>#NAME?</v>
      </c>
      <c r="C153" s="5"/>
      <c r="D153" s="2" t="e">
        <f ca="1"/>
        <v>#NAME?</v>
      </c>
    </row>
    <row r="154" spans="2:7" ht="12.75" x14ac:dyDescent="0.2">
      <c r="B154" s="5" t="e">
        <f ca="1"/>
        <v>#NAME?</v>
      </c>
      <c r="C154" s="5"/>
      <c r="D154" s="2" t="e">
        <f ca="1"/>
        <v>#NAME?</v>
      </c>
    </row>
    <row r="155" spans="2:7" ht="12.75" x14ac:dyDescent="0.2">
      <c r="B155" s="5" t="e">
        <f ca="1"/>
        <v>#NAME?</v>
      </c>
      <c r="C155" s="5"/>
      <c r="D155" s="2" t="e">
        <f ca="1"/>
        <v>#NAME?</v>
      </c>
    </row>
    <row r="156" spans="2:7" ht="12.75" x14ac:dyDescent="0.2">
      <c r="B156" s="5" t="e">
        <f ca="1"/>
        <v>#NAME?</v>
      </c>
      <c r="C156" s="5"/>
      <c r="D156" s="2" t="e">
        <f ca="1"/>
        <v>#NAME?</v>
      </c>
    </row>
    <row r="157" spans="2:7" ht="12.75" x14ac:dyDescent="0.2">
      <c r="D157" s="2" t="e">
        <f ca="1"/>
        <v>#NAME?</v>
      </c>
    </row>
    <row r="158" spans="2:7" ht="12.75" x14ac:dyDescent="0.2">
      <c r="D158" s="2" t="e">
        <f ca="1"/>
        <v>#NAME?</v>
      </c>
    </row>
    <row r="159" spans="2:7" ht="12.75" x14ac:dyDescent="0.2">
      <c r="D159" s="2" t="e">
        <f ca="1"/>
        <v>#NAME?</v>
      </c>
    </row>
    <row r="160" spans="2:7" ht="12.75" x14ac:dyDescent="0.2">
      <c r="D160" s="2" t="e">
        <f ca="1"/>
        <v>#NAME?</v>
      </c>
    </row>
    <row r="161" spans="4:4" ht="12.75" x14ac:dyDescent="0.2">
      <c r="D161" s="2" t="e">
        <f ca="1"/>
        <v>#NAME?</v>
      </c>
    </row>
  </sheetData>
  <mergeCells count="13">
    <mergeCell ref="B17:C17"/>
    <mergeCell ref="A1:K1"/>
    <mergeCell ref="B2:G2"/>
    <mergeCell ref="E11:G11"/>
    <mergeCell ref="B13:G13"/>
    <mergeCell ref="B16:C16"/>
    <mergeCell ref="A109:K109"/>
    <mergeCell ref="E31:F31"/>
    <mergeCell ref="B33:G33"/>
    <mergeCell ref="A47:K47"/>
    <mergeCell ref="E73:F73"/>
    <mergeCell ref="E89:G89"/>
    <mergeCell ref="E104:F104"/>
  </mergeCells>
  <dataValidations count="9">
    <dataValidation type="list" allowBlank="1" showInputMessage="1" showErrorMessage="1" sqref="D18:D29" xr:uid="{19E1EFE4-724D-44C1-A65C-F0FA2F52AE47}">
      <formula1>ExamMode</formula1>
    </dataValidation>
    <dataValidation type="list" allowBlank="1" showInputMessage="1" showErrorMessage="1" sqref="D5:D9 D36:D40" xr:uid="{E3CEE12F-0DA9-44A4-B222-B11A1C552D3C}">
      <formula1>CourseIn</formula1>
    </dataValidation>
    <dataValidation type="list" allowBlank="1" showErrorMessage="1" sqref="E120:E128" xr:uid="{C804C484-61B4-4B8E-B403-2F76D90E085E}">
      <formula1>$E$150:$E$161</formula1>
    </dataValidation>
    <dataValidation type="list" allowBlank="1" showInputMessage="1" showErrorMessage="1" sqref="D51:D71" xr:uid="{6C522B4B-2132-43B4-BA04-1251DC9608D2}">
      <formula1>Cat2AList</formula1>
    </dataValidation>
    <dataValidation type="list" allowBlank="1" showInputMessage="1" showErrorMessage="1" sqref="D78:D87" xr:uid="{8B6E4932-FAD7-46F8-8C3A-586043DD68E6}">
      <formula1>Cat2BList</formula1>
    </dataValidation>
    <dataValidation type="list" allowBlank="1" showInputMessage="1" showErrorMessage="1" sqref="D95:D102" xr:uid="{B47AFE40-78A1-472A-B789-C5F097CC96D7}">
      <formula1>Cat2CList</formula1>
    </dataValidation>
    <dataValidation type="list" allowBlank="1" showInputMessage="1" showErrorMessage="1" sqref="F114" xr:uid="{294BC7BA-F169-4787-9E5A-0BF14239BF4F}">
      <formula1>Cat3AClassList</formula1>
    </dataValidation>
    <dataValidation type="list" allowBlank="1" showInputMessage="1" showErrorMessage="1" sqref="G114" xr:uid="{2503A4C5-6090-4852-9A4C-C647CA92CAAA}">
      <formula1>Cat3AAuthorList</formula1>
    </dataValidation>
    <dataValidation type="list" allowBlank="1" showInputMessage="1" showErrorMessage="1" sqref="D120:D128" xr:uid="{9614AAA7-2E61-4C0B-A7E5-A16B15E3899E}">
      <formula1>Cat3BCategoryList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61"/>
  <sheetViews>
    <sheetView workbookViewId="0"/>
  </sheetViews>
  <sheetFormatPr defaultColWidth="12.5703125" defaultRowHeight="15.75" customHeight="1" x14ac:dyDescent="0.2"/>
  <cols>
    <col min="1" max="1" width="5.7109375" customWidth="1"/>
    <col min="2" max="2" width="9.5703125" customWidth="1"/>
    <col min="3" max="3" width="55" customWidth="1"/>
    <col min="4" max="4" width="63.42578125" customWidth="1"/>
    <col min="5" max="5" width="25" customWidth="1"/>
    <col min="6" max="6" width="14.28515625" customWidth="1"/>
    <col min="8" max="8" width="13" customWidth="1"/>
  </cols>
  <sheetData>
    <row r="1" spans="1:11" ht="15.75" customHeight="1" x14ac:dyDescent="0.3">
      <c r="A1" s="38" t="s">
        <v>143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.75" x14ac:dyDescent="0.2">
      <c r="A2" s="1" t="s">
        <v>144</v>
      </c>
      <c r="B2" s="39" t="s">
        <v>145</v>
      </c>
      <c r="C2" s="37"/>
      <c r="D2" s="37"/>
      <c r="E2" s="37"/>
      <c r="F2" s="37"/>
      <c r="G2" s="37"/>
    </row>
    <row r="3" spans="1:11" ht="12.75" x14ac:dyDescent="0.2">
      <c r="A3" s="2"/>
      <c r="B3" s="2"/>
    </row>
    <row r="4" spans="1:11" ht="12.75" x14ac:dyDescent="0.2">
      <c r="A4" s="2"/>
      <c r="B4" s="12" t="s">
        <v>146</v>
      </c>
      <c r="C4" s="12" t="s">
        <v>197</v>
      </c>
      <c r="D4" s="12" t="s">
        <v>148</v>
      </c>
      <c r="E4" s="12" t="s">
        <v>149</v>
      </c>
      <c r="F4" s="12" t="s">
        <v>198</v>
      </c>
      <c r="G4" s="12" t="s">
        <v>150</v>
      </c>
      <c r="H4" s="12" t="s">
        <v>151</v>
      </c>
      <c r="J4" s="13" t="s">
        <v>152</v>
      </c>
      <c r="K4" s="5">
        <f>60</f>
        <v>60</v>
      </c>
    </row>
    <row r="5" spans="1:11" ht="12.75" x14ac:dyDescent="0.2">
      <c r="A5" s="2"/>
      <c r="B5" s="5">
        <v>1</v>
      </c>
      <c r="C5" s="5"/>
      <c r="D5" s="4"/>
      <c r="E5" s="5"/>
      <c r="F5" s="5" t="str">
        <f>IF(OR(C5="",D5="",E5=""),"",IF(D5="Post Graduate",ROUND(E5*7/3,0),IF(D5="Under Graduate",ROUND(ROUND(E5*7/3,0)/2,1),"")))</f>
        <v/>
      </c>
      <c r="G5" s="14" t="str">
        <f>IF(F5="","",ROUND(F5/10,2))</f>
        <v/>
      </c>
      <c r="H5" s="5" t="str">
        <f t="shared" ref="H5:H9" si="0">"2028-29"</f>
        <v>2028-29</v>
      </c>
      <c r="I5" s="2"/>
    </row>
    <row r="6" spans="1:11" ht="12.75" x14ac:dyDescent="0.2">
      <c r="A6" s="2"/>
      <c r="B6" s="5">
        <v>2</v>
      </c>
      <c r="C6" s="5"/>
      <c r="D6" s="4"/>
      <c r="E6" s="5"/>
      <c r="F6" s="5" t="str">
        <f>IF(OR(C6="",D6="",E6=""),"",IF(D6="Post Graduate",ROUND(E6*7/3,0),IF(D6="Under Graduate",ROUND(ROUND(E6*7/3,0)/2,1),"")))</f>
        <v/>
      </c>
      <c r="G6" s="14" t="str">
        <f>IF(F6="","",ROUND(F6/10,2))</f>
        <v/>
      </c>
      <c r="H6" s="5" t="str">
        <f t="shared" si="0"/>
        <v>2028-29</v>
      </c>
      <c r="I6" s="2"/>
    </row>
    <row r="7" spans="1:11" ht="12.75" x14ac:dyDescent="0.2">
      <c r="A7" s="2"/>
      <c r="B7" s="5">
        <v>3</v>
      </c>
      <c r="C7" s="5"/>
      <c r="D7" s="4"/>
      <c r="E7" s="5"/>
      <c r="F7" s="5" t="str">
        <f>IF(OR(C7="",D7="",E7=""),"",IF(D7="Post Graduate",ROUND(E7*7/3,0),IF(D7="Under Graduate",ROUND(ROUND(E7*7/3,0)/2,1),"")))</f>
        <v/>
      </c>
      <c r="G7" s="14" t="str">
        <f>IF(F7="","",ROUND(F7/10,2))</f>
        <v/>
      </c>
      <c r="H7" s="5" t="str">
        <f t="shared" si="0"/>
        <v>2028-29</v>
      </c>
      <c r="I7" s="2"/>
    </row>
    <row r="8" spans="1:11" ht="12.75" x14ac:dyDescent="0.2">
      <c r="A8" s="2"/>
      <c r="B8" s="5">
        <v>4</v>
      </c>
      <c r="C8" s="5"/>
      <c r="D8" s="4"/>
      <c r="E8" s="5"/>
      <c r="F8" s="5" t="str">
        <f>IF(OR(C8="",D8="",E8=""),"",IF(D8="Post Graduate",ROUND(E8*7/3,0),IF(D8="Under Graduate",ROUND(ROUND(E8*7/3,0)/2,1),"")))</f>
        <v/>
      </c>
      <c r="G8" s="14" t="str">
        <f>IF(F8="","",ROUND(F8/10,2))</f>
        <v/>
      </c>
      <c r="H8" s="5" t="str">
        <f t="shared" si="0"/>
        <v>2028-29</v>
      </c>
      <c r="I8" s="2"/>
    </row>
    <row r="9" spans="1:11" ht="12.75" x14ac:dyDescent="0.2">
      <c r="A9" s="2"/>
      <c r="B9" s="5">
        <v>5</v>
      </c>
      <c r="C9" s="5"/>
      <c r="D9" s="4"/>
      <c r="E9" s="5"/>
      <c r="F9" s="5" t="str">
        <f>IF(OR(C9="",D9="",E9=""),"",IF(D9="Post Graduate",ROUND(E9*7/3,0),IF(D9="Under Graduate",ROUND(ROUND(E9*7/3,0)/2,1),"")))</f>
        <v/>
      </c>
      <c r="G9" s="14" t="str">
        <f>IF(F9="","",ROUND(F9/10,2))</f>
        <v/>
      </c>
      <c r="H9" s="5" t="str">
        <f t="shared" si="0"/>
        <v>2028-29</v>
      </c>
      <c r="I9" s="2"/>
    </row>
    <row r="10" spans="1:11" ht="12.75" x14ac:dyDescent="0.2">
      <c r="A10" s="1"/>
      <c r="B10" s="15"/>
      <c r="D10" s="16" t="s">
        <v>154</v>
      </c>
      <c r="E10" s="17">
        <f>SUM(E5:E9)</f>
        <v>0</v>
      </c>
      <c r="F10" s="17">
        <f>SUM(F5:F9)</f>
        <v>0</v>
      </c>
      <c r="G10" s="18">
        <f>SUM(G5:G9)</f>
        <v>0</v>
      </c>
      <c r="H10" s="19" t="s">
        <v>155</v>
      </c>
    </row>
    <row r="11" spans="1:11" ht="12.75" x14ac:dyDescent="0.2">
      <c r="A11" s="1"/>
      <c r="B11" s="15"/>
      <c r="C11" s="15"/>
      <c r="D11" s="20" t="s">
        <v>10</v>
      </c>
      <c r="E11" s="40">
        <f>G10</f>
        <v>0</v>
      </c>
      <c r="F11" s="41"/>
      <c r="G11" s="42"/>
      <c r="H11" s="21">
        <f>MIN(E11,K4)</f>
        <v>0</v>
      </c>
    </row>
    <row r="12" spans="1:11" ht="12.75" x14ac:dyDescent="0.2">
      <c r="A12" s="1"/>
      <c r="B12" s="15"/>
      <c r="C12" s="15"/>
      <c r="D12" s="15"/>
      <c r="E12" s="15"/>
      <c r="F12" s="15"/>
      <c r="G12" s="15"/>
    </row>
    <row r="13" spans="1:11" ht="12.75" x14ac:dyDescent="0.2">
      <c r="A13" s="1" t="s">
        <v>156</v>
      </c>
      <c r="B13" s="43" t="s">
        <v>157</v>
      </c>
      <c r="C13" s="37"/>
      <c r="D13" s="37"/>
      <c r="E13" s="37"/>
      <c r="F13" s="37"/>
      <c r="G13" s="37"/>
    </row>
    <row r="15" spans="1:11" ht="12.75" x14ac:dyDescent="0.2">
      <c r="B15" s="12" t="s">
        <v>146</v>
      </c>
      <c r="C15" s="12" t="s">
        <v>147</v>
      </c>
      <c r="D15" s="12" t="s">
        <v>199</v>
      </c>
      <c r="E15" s="12" t="s">
        <v>200</v>
      </c>
      <c r="F15" s="12" t="s">
        <v>46</v>
      </c>
      <c r="G15" s="12" t="s">
        <v>151</v>
      </c>
      <c r="J15" s="13" t="s">
        <v>152</v>
      </c>
      <c r="K15" s="5">
        <f>20</f>
        <v>20</v>
      </c>
    </row>
    <row r="16" spans="1:11" ht="12.75" x14ac:dyDescent="0.2">
      <c r="B16" s="44" t="s">
        <v>158</v>
      </c>
      <c r="C16" s="42"/>
      <c r="D16" s="22" t="s">
        <v>159</v>
      </c>
      <c r="E16" s="5">
        <f>COUNTA(C5:C9)*10</f>
        <v>0</v>
      </c>
      <c r="F16" s="5">
        <f>ROUND(E16/10,2)</f>
        <v>0</v>
      </c>
      <c r="G16" s="5" t="str">
        <f t="shared" ref="G16:G29" si="1">"2028-29"</f>
        <v>2028-29</v>
      </c>
    </row>
    <row r="17" spans="1:7" ht="12.75" x14ac:dyDescent="0.2">
      <c r="B17" s="44" t="s">
        <v>160</v>
      </c>
      <c r="C17" s="42"/>
      <c r="D17" s="22" t="s">
        <v>161</v>
      </c>
      <c r="E17" s="5">
        <f>COUNTA(C5:C9)*20</f>
        <v>0</v>
      </c>
      <c r="F17" s="5">
        <f>ROUND(E17/10,2)</f>
        <v>0</v>
      </c>
      <c r="G17" s="5" t="str">
        <f t="shared" si="1"/>
        <v>2028-29</v>
      </c>
    </row>
    <row r="18" spans="1:7" ht="12.75" x14ac:dyDescent="0.2">
      <c r="B18" s="5">
        <v>1</v>
      </c>
      <c r="C18" s="5"/>
      <c r="D18" s="4"/>
      <c r="E18" s="5"/>
      <c r="F18" s="5" t="str">
        <f t="shared" ref="F18:F29" si="2">IF(OR(D18="",E18=""),"",ROUND(E18/10,2))</f>
        <v/>
      </c>
      <c r="G18" s="5" t="str">
        <f t="shared" si="1"/>
        <v>2028-29</v>
      </c>
    </row>
    <row r="19" spans="1:7" ht="12.75" x14ac:dyDescent="0.2">
      <c r="B19" s="5">
        <v>2</v>
      </c>
      <c r="C19" s="5"/>
      <c r="D19" s="4"/>
      <c r="E19" s="5"/>
      <c r="F19" s="5" t="str">
        <f t="shared" si="2"/>
        <v/>
      </c>
      <c r="G19" s="5" t="str">
        <f t="shared" si="1"/>
        <v>2028-29</v>
      </c>
    </row>
    <row r="20" spans="1:7" ht="12.75" x14ac:dyDescent="0.2">
      <c r="A20" s="1"/>
      <c r="B20" s="5">
        <v>3</v>
      </c>
      <c r="C20" s="5"/>
      <c r="D20" s="4"/>
      <c r="E20" s="5"/>
      <c r="F20" s="5" t="str">
        <f t="shared" si="2"/>
        <v/>
      </c>
      <c r="G20" s="5" t="str">
        <f t="shared" si="1"/>
        <v>2028-29</v>
      </c>
    </row>
    <row r="21" spans="1:7" ht="12.75" x14ac:dyDescent="0.2">
      <c r="A21" s="1"/>
      <c r="B21" s="5">
        <v>4</v>
      </c>
      <c r="C21" s="5"/>
      <c r="D21" s="4"/>
      <c r="E21" s="5"/>
      <c r="F21" s="5" t="str">
        <f t="shared" si="2"/>
        <v/>
      </c>
      <c r="G21" s="5" t="str">
        <f t="shared" si="1"/>
        <v>2028-29</v>
      </c>
    </row>
    <row r="22" spans="1:7" ht="12.75" x14ac:dyDescent="0.2">
      <c r="A22" s="1"/>
      <c r="B22" s="5">
        <v>5</v>
      </c>
      <c r="C22" s="5"/>
      <c r="D22" s="4"/>
      <c r="E22" s="5"/>
      <c r="F22" s="5" t="str">
        <f t="shared" si="2"/>
        <v/>
      </c>
      <c r="G22" s="5" t="str">
        <f t="shared" si="1"/>
        <v>2028-29</v>
      </c>
    </row>
    <row r="23" spans="1:7" ht="12.75" x14ac:dyDescent="0.2">
      <c r="A23" s="1"/>
      <c r="B23" s="5">
        <v>6</v>
      </c>
      <c r="C23" s="5"/>
      <c r="D23" s="4"/>
      <c r="E23" s="5"/>
      <c r="F23" s="5" t="str">
        <f t="shared" si="2"/>
        <v/>
      </c>
      <c r="G23" s="5" t="str">
        <f t="shared" si="1"/>
        <v>2028-29</v>
      </c>
    </row>
    <row r="24" spans="1:7" ht="12.75" x14ac:dyDescent="0.2">
      <c r="A24" s="1"/>
      <c r="B24" s="5">
        <v>7</v>
      </c>
      <c r="C24" s="5"/>
      <c r="D24" s="4"/>
      <c r="E24" s="5"/>
      <c r="F24" s="5" t="str">
        <f t="shared" si="2"/>
        <v/>
      </c>
      <c r="G24" s="5" t="str">
        <f t="shared" si="1"/>
        <v>2028-29</v>
      </c>
    </row>
    <row r="25" spans="1:7" ht="12.75" x14ac:dyDescent="0.2">
      <c r="A25" s="1"/>
      <c r="B25" s="5">
        <v>8</v>
      </c>
      <c r="C25" s="5"/>
      <c r="D25" s="4"/>
      <c r="E25" s="5"/>
      <c r="F25" s="5" t="str">
        <f t="shared" si="2"/>
        <v/>
      </c>
      <c r="G25" s="5" t="str">
        <f t="shared" si="1"/>
        <v>2028-29</v>
      </c>
    </row>
    <row r="26" spans="1:7" ht="12.75" x14ac:dyDescent="0.2">
      <c r="A26" s="1"/>
      <c r="B26" s="5">
        <v>9</v>
      </c>
      <c r="C26" s="5"/>
      <c r="D26" s="4"/>
      <c r="E26" s="5"/>
      <c r="F26" s="5" t="str">
        <f t="shared" si="2"/>
        <v/>
      </c>
      <c r="G26" s="5" t="str">
        <f t="shared" si="1"/>
        <v>2028-29</v>
      </c>
    </row>
    <row r="27" spans="1:7" ht="12.75" x14ac:dyDescent="0.2">
      <c r="A27" s="1"/>
      <c r="B27" s="5">
        <v>10</v>
      </c>
      <c r="C27" s="5"/>
      <c r="D27" s="4"/>
      <c r="E27" s="5"/>
      <c r="F27" s="5" t="str">
        <f t="shared" si="2"/>
        <v/>
      </c>
      <c r="G27" s="5" t="str">
        <f t="shared" si="1"/>
        <v>2028-29</v>
      </c>
    </row>
    <row r="28" spans="1:7" ht="12.75" x14ac:dyDescent="0.2">
      <c r="A28" s="1"/>
      <c r="B28" s="5">
        <v>11</v>
      </c>
      <c r="C28" s="5"/>
      <c r="D28" s="4"/>
      <c r="E28" s="5"/>
      <c r="F28" s="5" t="str">
        <f t="shared" si="2"/>
        <v/>
      </c>
      <c r="G28" s="5" t="str">
        <f t="shared" si="1"/>
        <v>2028-29</v>
      </c>
    </row>
    <row r="29" spans="1:7" ht="12.75" x14ac:dyDescent="0.2">
      <c r="A29" s="1"/>
      <c r="B29" s="5">
        <v>12</v>
      </c>
      <c r="C29" s="5"/>
      <c r="D29" s="4"/>
      <c r="E29" s="5"/>
      <c r="F29" s="5" t="str">
        <f t="shared" si="2"/>
        <v/>
      </c>
      <c r="G29" s="5" t="str">
        <f t="shared" si="1"/>
        <v>2028-29</v>
      </c>
    </row>
    <row r="30" spans="1:7" ht="12.75" x14ac:dyDescent="0.2">
      <c r="A30" s="1"/>
      <c r="B30" s="1"/>
      <c r="C30" s="1"/>
      <c r="D30" s="16" t="s">
        <v>163</v>
      </c>
      <c r="E30" s="17">
        <f>SUM(E16:E29)</f>
        <v>0</v>
      </c>
      <c r="F30" s="5">
        <f>SUM(F16:F29)</f>
        <v>0</v>
      </c>
      <c r="G30" s="23" t="s">
        <v>164</v>
      </c>
    </row>
    <row r="31" spans="1:7" ht="12.75" x14ac:dyDescent="0.2">
      <c r="A31" s="1"/>
      <c r="B31" s="1"/>
      <c r="C31" s="1"/>
      <c r="D31" s="16" t="s">
        <v>11</v>
      </c>
      <c r="E31" s="45">
        <f>F30</f>
        <v>0</v>
      </c>
      <c r="F31" s="42"/>
      <c r="G31" s="19">
        <f>MIN(E31,K15)</f>
        <v>0</v>
      </c>
    </row>
    <row r="32" spans="1:7" ht="12.75" x14ac:dyDescent="0.2">
      <c r="A32" s="1"/>
      <c r="B32" s="1"/>
      <c r="C32" s="1"/>
      <c r="D32" s="1"/>
      <c r="E32" s="1"/>
      <c r="F32" s="1"/>
      <c r="G32" s="1"/>
    </row>
    <row r="33" spans="1:11" ht="12.75" x14ac:dyDescent="0.2">
      <c r="A33" s="1" t="s">
        <v>165</v>
      </c>
      <c r="B33" s="39" t="s">
        <v>201</v>
      </c>
      <c r="C33" s="37"/>
      <c r="D33" s="37"/>
      <c r="E33" s="37"/>
      <c r="F33" s="37"/>
      <c r="G33" s="37"/>
    </row>
    <row r="35" spans="1:11" ht="12.75" x14ac:dyDescent="0.2">
      <c r="B35" s="12" t="s">
        <v>146</v>
      </c>
      <c r="C35" s="12" t="s">
        <v>197</v>
      </c>
      <c r="D35" s="12" t="s">
        <v>148</v>
      </c>
      <c r="E35" s="12" t="s">
        <v>149</v>
      </c>
      <c r="F35" s="12" t="s">
        <v>202</v>
      </c>
      <c r="G35" s="12" t="s">
        <v>151</v>
      </c>
      <c r="J35" s="13" t="s">
        <v>152</v>
      </c>
      <c r="K35" s="5">
        <f>15</f>
        <v>15</v>
      </c>
    </row>
    <row r="36" spans="1:11" ht="12.75" x14ac:dyDescent="0.2">
      <c r="B36" s="5">
        <v>1</v>
      </c>
      <c r="C36" s="5" t="str">
        <f t="shared" ref="C36:E40" si="3">IF(C5="","",C5)</f>
        <v/>
      </c>
      <c r="D36" s="24" t="str">
        <f t="shared" si="3"/>
        <v/>
      </c>
      <c r="E36" s="25" t="str">
        <f t="shared" si="3"/>
        <v/>
      </c>
      <c r="F36" s="14" t="str">
        <f>IF(E36="","",ROUND(E36/3,2))</f>
        <v/>
      </c>
      <c r="G36" s="5" t="str">
        <f t="shared" ref="G36:G40" si="4">"2028-29"</f>
        <v>2028-29</v>
      </c>
    </row>
    <row r="37" spans="1:11" ht="12.75" x14ac:dyDescent="0.2">
      <c r="B37" s="5">
        <v>2</v>
      </c>
      <c r="C37" s="5" t="str">
        <f t="shared" si="3"/>
        <v/>
      </c>
      <c r="D37" s="24" t="str">
        <f t="shared" si="3"/>
        <v/>
      </c>
      <c r="E37" s="25" t="str">
        <f t="shared" si="3"/>
        <v/>
      </c>
      <c r="F37" s="14" t="str">
        <f>IF(E37="","",ROUND(E37/3,2))</f>
        <v/>
      </c>
      <c r="G37" s="5" t="str">
        <f t="shared" si="4"/>
        <v>2028-29</v>
      </c>
    </row>
    <row r="38" spans="1:11" ht="12.75" x14ac:dyDescent="0.2">
      <c r="B38" s="5">
        <v>3</v>
      </c>
      <c r="C38" s="5" t="str">
        <f t="shared" si="3"/>
        <v/>
      </c>
      <c r="D38" s="24" t="str">
        <f t="shared" si="3"/>
        <v/>
      </c>
      <c r="E38" s="25" t="str">
        <f t="shared" si="3"/>
        <v/>
      </c>
      <c r="F38" s="14" t="str">
        <f>IF(E38="","",ROUND(E38/3,2))</f>
        <v/>
      </c>
      <c r="G38" s="5" t="str">
        <f t="shared" si="4"/>
        <v>2028-29</v>
      </c>
    </row>
    <row r="39" spans="1:11" ht="12.75" x14ac:dyDescent="0.2">
      <c r="B39" s="5">
        <v>4</v>
      </c>
      <c r="C39" s="5" t="str">
        <f t="shared" si="3"/>
        <v/>
      </c>
      <c r="D39" s="24" t="str">
        <f t="shared" si="3"/>
        <v/>
      </c>
      <c r="E39" s="25" t="str">
        <f t="shared" si="3"/>
        <v/>
      </c>
      <c r="F39" s="14" t="str">
        <f>IF(E39="","",ROUND(E39/3,2))</f>
        <v/>
      </c>
      <c r="G39" s="5" t="str">
        <f t="shared" si="4"/>
        <v>2028-29</v>
      </c>
    </row>
    <row r="40" spans="1:11" ht="12.75" x14ac:dyDescent="0.2">
      <c r="B40" s="5">
        <v>5</v>
      </c>
      <c r="C40" s="5" t="str">
        <f t="shared" si="3"/>
        <v/>
      </c>
      <c r="D40" s="24" t="str">
        <f t="shared" si="3"/>
        <v/>
      </c>
      <c r="E40" s="25" t="str">
        <f t="shared" si="3"/>
        <v/>
      </c>
      <c r="F40" s="14" t="str">
        <f>IF(E40="","",ROUND(E40/3,2))</f>
        <v/>
      </c>
      <c r="G40" s="5" t="str">
        <f t="shared" si="4"/>
        <v>2028-29</v>
      </c>
      <c r="J40" s="26"/>
    </row>
    <row r="41" spans="1:11" ht="12.75" x14ac:dyDescent="0.2">
      <c r="B41" s="15"/>
      <c r="D41" s="1"/>
      <c r="E41" s="17" t="s">
        <v>154</v>
      </c>
      <c r="F41" s="27">
        <f>SUM(F36:F40)</f>
        <v>0</v>
      </c>
      <c r="G41" s="19" t="s">
        <v>166</v>
      </c>
    </row>
    <row r="42" spans="1:11" ht="12.75" x14ac:dyDescent="0.2">
      <c r="B42" s="15"/>
      <c r="C42" s="15"/>
      <c r="D42" s="15"/>
      <c r="E42" s="28" t="s">
        <v>21</v>
      </c>
      <c r="F42" s="29">
        <f>ROUND(F41/10,2)</f>
        <v>0</v>
      </c>
      <c r="G42" s="21">
        <f>MIN(F42,K35)</f>
        <v>0</v>
      </c>
    </row>
    <row r="44" spans="1:11" ht="12.75" x14ac:dyDescent="0.2">
      <c r="B44" s="4" t="s">
        <v>21</v>
      </c>
      <c r="C44" s="4" t="s">
        <v>22</v>
      </c>
      <c r="D44" s="4" t="s">
        <v>23</v>
      </c>
      <c r="E44" s="30" t="s">
        <v>167</v>
      </c>
    </row>
    <row r="45" spans="1:11" ht="12.75" x14ac:dyDescent="0.2">
      <c r="B45" s="14">
        <f>H11</f>
        <v>0</v>
      </c>
      <c r="C45" s="5">
        <f>G31</f>
        <v>0</v>
      </c>
      <c r="D45" s="14">
        <f>G42</f>
        <v>0</v>
      </c>
      <c r="E45" s="14">
        <f>SUM(B45:D45)</f>
        <v>0</v>
      </c>
    </row>
    <row r="47" spans="1:11" ht="20.25" x14ac:dyDescent="0.3">
      <c r="A47" s="38" t="s">
        <v>14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2.75" x14ac:dyDescent="0.2">
      <c r="A48" s="1" t="s">
        <v>144</v>
      </c>
      <c r="B48" s="1" t="s">
        <v>168</v>
      </c>
    </row>
    <row r="49" spans="1:11" ht="12.75" x14ac:dyDescent="0.2">
      <c r="A49" s="2"/>
      <c r="B49" s="2"/>
    </row>
    <row r="50" spans="1:11" ht="12.75" x14ac:dyDescent="0.2">
      <c r="A50" s="2"/>
      <c r="B50" s="12" t="s">
        <v>146</v>
      </c>
      <c r="C50" s="12" t="s">
        <v>169</v>
      </c>
      <c r="D50" s="12" t="s">
        <v>170</v>
      </c>
      <c r="E50" s="12" t="s">
        <v>46</v>
      </c>
      <c r="F50" s="12" t="s">
        <v>171</v>
      </c>
      <c r="G50" s="12" t="s">
        <v>151</v>
      </c>
      <c r="J50" s="13" t="s">
        <v>152</v>
      </c>
      <c r="K50" s="5">
        <v>15</v>
      </c>
    </row>
    <row r="51" spans="1:11" ht="12.75" x14ac:dyDescent="0.2">
      <c r="A51" s="2"/>
      <c r="B51" s="5">
        <v>1</v>
      </c>
      <c r="C51" s="5"/>
      <c r="D51" s="4"/>
      <c r="E51" s="5" t="str">
        <f>IFERROR(VLOOKUP(D51,Cat2A[],2,FALSE),"")</f>
        <v/>
      </c>
      <c r="F51" s="5" t="str">
        <f>IF(E51="","",E51/10)</f>
        <v/>
      </c>
      <c r="G51" s="5" t="str">
        <f t="shared" ref="G51:G71" si="5">"2028-29"</f>
        <v>2028-29</v>
      </c>
    </row>
    <row r="52" spans="1:11" ht="12.75" x14ac:dyDescent="0.2">
      <c r="A52" s="2"/>
      <c r="B52" s="5">
        <v>2</v>
      </c>
      <c r="C52" s="5"/>
      <c r="D52" s="4"/>
      <c r="E52" s="5" t="str">
        <f>IFERROR(VLOOKUP(D52,Cat2A[],2,FALSE),"")</f>
        <v/>
      </c>
      <c r="F52" s="5" t="str">
        <f>IF(E52="","",E52/10)</f>
        <v/>
      </c>
      <c r="G52" s="5" t="str">
        <f t="shared" si="5"/>
        <v>2028-29</v>
      </c>
    </row>
    <row r="53" spans="1:11" ht="12.75" x14ac:dyDescent="0.2">
      <c r="A53" s="2"/>
      <c r="B53" s="5">
        <v>3</v>
      </c>
      <c r="C53" s="5"/>
      <c r="D53" s="4"/>
      <c r="E53" s="5" t="str">
        <f>IFERROR(VLOOKUP(D53,Cat2A[],2,FALSE),"")</f>
        <v/>
      </c>
      <c r="F53" s="5" t="str">
        <f>IF(E53="","",E53/10)</f>
        <v/>
      </c>
      <c r="G53" s="5" t="str">
        <f t="shared" si="5"/>
        <v>2028-29</v>
      </c>
    </row>
    <row r="54" spans="1:11" ht="12.75" x14ac:dyDescent="0.2">
      <c r="A54" s="2"/>
      <c r="B54" s="5">
        <v>4</v>
      </c>
      <c r="C54" s="5"/>
      <c r="D54" s="4"/>
      <c r="E54" s="5" t="str">
        <f>IFERROR(VLOOKUP(D54,Cat2A[],2,FALSE),"")</f>
        <v/>
      </c>
      <c r="F54" s="5" t="str">
        <f>IF(E54="","",E54/10)</f>
        <v/>
      </c>
      <c r="G54" s="5" t="str">
        <f t="shared" si="5"/>
        <v>2028-29</v>
      </c>
    </row>
    <row r="55" spans="1:11" ht="12.75" x14ac:dyDescent="0.2">
      <c r="A55" s="2"/>
      <c r="B55" s="5">
        <v>5</v>
      </c>
      <c r="C55" s="5"/>
      <c r="D55" s="4"/>
      <c r="E55" s="5" t="str">
        <f>IFERROR(VLOOKUP(D55,Cat2A[],2,FALSE),"")</f>
        <v/>
      </c>
      <c r="F55" s="5" t="str">
        <f>IF(E55="","",E55/10)</f>
        <v/>
      </c>
      <c r="G55" s="5" t="str">
        <f t="shared" si="5"/>
        <v>2028-29</v>
      </c>
    </row>
    <row r="56" spans="1:11" ht="12.75" x14ac:dyDescent="0.2">
      <c r="A56" s="2"/>
      <c r="B56" s="5">
        <v>6</v>
      </c>
      <c r="C56" s="5"/>
      <c r="D56" s="4"/>
      <c r="E56" s="5" t="str">
        <f>IFERROR(VLOOKUP(D56,Cat2A[],2,FALSE),"")</f>
        <v/>
      </c>
      <c r="F56" s="5" t="str">
        <f>IF(E56="","",E56/10)</f>
        <v/>
      </c>
      <c r="G56" s="5" t="str">
        <f t="shared" si="5"/>
        <v>2028-29</v>
      </c>
    </row>
    <row r="57" spans="1:11" ht="12.75" x14ac:dyDescent="0.2">
      <c r="A57" s="2"/>
      <c r="B57" s="5">
        <v>7</v>
      </c>
      <c r="C57" s="5"/>
      <c r="D57" s="4"/>
      <c r="E57" s="5" t="str">
        <f>IFERROR(VLOOKUP(D57,Cat2A[],2,FALSE),"")</f>
        <v/>
      </c>
      <c r="F57" s="5" t="str">
        <f>IF(E57="","",E57/10)</f>
        <v/>
      </c>
      <c r="G57" s="5" t="str">
        <f t="shared" si="5"/>
        <v>2028-29</v>
      </c>
    </row>
    <row r="58" spans="1:11" ht="12.75" x14ac:dyDescent="0.2">
      <c r="A58" s="2"/>
      <c r="B58" s="5">
        <v>8</v>
      </c>
      <c r="C58" s="5"/>
      <c r="D58" s="4"/>
      <c r="E58" s="5" t="str">
        <f>IFERROR(VLOOKUP(D58,Cat2A[],2,FALSE),"")</f>
        <v/>
      </c>
      <c r="F58" s="5" t="str">
        <f>IF(E58="","",E58/10)</f>
        <v/>
      </c>
      <c r="G58" s="5" t="str">
        <f t="shared" si="5"/>
        <v>2028-29</v>
      </c>
    </row>
    <row r="59" spans="1:11" ht="12.75" x14ac:dyDescent="0.2">
      <c r="A59" s="2"/>
      <c r="B59" s="5">
        <v>9</v>
      </c>
      <c r="C59" s="5"/>
      <c r="D59" s="4"/>
      <c r="E59" s="5" t="str">
        <f>IFERROR(VLOOKUP(D59,Cat2A[],2,FALSE),"")</f>
        <v/>
      </c>
      <c r="F59" s="5" t="str">
        <f>IF(E59="","",E59/10)</f>
        <v/>
      </c>
      <c r="G59" s="5" t="str">
        <f t="shared" si="5"/>
        <v>2028-29</v>
      </c>
    </row>
    <row r="60" spans="1:11" ht="12.75" x14ac:dyDescent="0.2">
      <c r="A60" s="2"/>
      <c r="B60" s="5">
        <v>10</v>
      </c>
      <c r="C60" s="5"/>
      <c r="D60" s="4"/>
      <c r="E60" s="5" t="str">
        <f>IFERROR(VLOOKUP(D60,Cat2A[],2,FALSE),"")</f>
        <v/>
      </c>
      <c r="F60" s="5" t="str">
        <f>IF(E60="","",E60/10)</f>
        <v/>
      </c>
      <c r="G60" s="5" t="str">
        <f t="shared" si="5"/>
        <v>2028-29</v>
      </c>
    </row>
    <row r="61" spans="1:11" ht="12.75" x14ac:dyDescent="0.2">
      <c r="A61" s="2"/>
      <c r="B61" s="5">
        <v>11</v>
      </c>
      <c r="C61" s="5"/>
      <c r="D61" s="4"/>
      <c r="E61" s="5" t="str">
        <f>IFERROR(VLOOKUP(D61,Cat2A[],2,FALSE),"")</f>
        <v/>
      </c>
      <c r="F61" s="5" t="str">
        <f>IF(E61="","",E61/10)</f>
        <v/>
      </c>
      <c r="G61" s="5" t="str">
        <f t="shared" si="5"/>
        <v>2028-29</v>
      </c>
    </row>
    <row r="62" spans="1:11" ht="12.75" x14ac:dyDescent="0.2">
      <c r="A62" s="2"/>
      <c r="B62" s="5">
        <v>12</v>
      </c>
      <c r="C62" s="5"/>
      <c r="D62" s="4"/>
      <c r="E62" s="5" t="str">
        <f>IFERROR(VLOOKUP(D62,Cat2A[],2,FALSE),"")</f>
        <v/>
      </c>
      <c r="F62" s="5" t="str">
        <f>IF(E62="","",E62/10)</f>
        <v/>
      </c>
      <c r="G62" s="5" t="str">
        <f t="shared" si="5"/>
        <v>2028-29</v>
      </c>
    </row>
    <row r="63" spans="1:11" ht="12.75" x14ac:dyDescent="0.2">
      <c r="A63" s="2"/>
      <c r="B63" s="5">
        <v>13</v>
      </c>
      <c r="C63" s="5"/>
      <c r="D63" s="4"/>
      <c r="E63" s="5" t="str">
        <f>IFERROR(VLOOKUP(D63,Cat2A[],2,FALSE),"")</f>
        <v/>
      </c>
      <c r="F63" s="5" t="str">
        <f>IF(E63="","",E63/10)</f>
        <v/>
      </c>
      <c r="G63" s="5" t="str">
        <f t="shared" si="5"/>
        <v>2028-29</v>
      </c>
    </row>
    <row r="64" spans="1:11" ht="12.75" x14ac:dyDescent="0.2">
      <c r="A64" s="2"/>
      <c r="B64" s="5">
        <v>14</v>
      </c>
      <c r="C64" s="5"/>
      <c r="D64" s="4"/>
      <c r="E64" s="5" t="str">
        <f>IFERROR(VLOOKUP(D64,Cat2A[],2,FALSE),"")</f>
        <v/>
      </c>
      <c r="F64" s="5" t="str">
        <f>IF(E64="","",E64/10)</f>
        <v/>
      </c>
      <c r="G64" s="5" t="str">
        <f t="shared" si="5"/>
        <v>2028-29</v>
      </c>
    </row>
    <row r="65" spans="1:11" ht="12.75" x14ac:dyDescent="0.2">
      <c r="A65" s="2"/>
      <c r="B65" s="5">
        <v>15</v>
      </c>
      <c r="C65" s="5"/>
      <c r="D65" s="4"/>
      <c r="E65" s="5" t="str">
        <f>IFERROR(VLOOKUP(D65,Cat2A[],2,FALSE),"")</f>
        <v/>
      </c>
      <c r="F65" s="5" t="str">
        <f>IF(E65="","",E65/10)</f>
        <v/>
      </c>
      <c r="G65" s="5" t="str">
        <f t="shared" si="5"/>
        <v>2028-29</v>
      </c>
    </row>
    <row r="66" spans="1:11" ht="12.75" x14ac:dyDescent="0.2">
      <c r="A66" s="2"/>
      <c r="B66" s="5">
        <v>16</v>
      </c>
      <c r="C66" s="5"/>
      <c r="D66" s="4"/>
      <c r="E66" s="5" t="str">
        <f>IFERROR(VLOOKUP(D66,Cat2A[],2,FALSE),"")</f>
        <v/>
      </c>
      <c r="F66" s="5" t="str">
        <f>IF(E66="","",E66/10)</f>
        <v/>
      </c>
      <c r="G66" s="5" t="str">
        <f t="shared" si="5"/>
        <v>2028-29</v>
      </c>
    </row>
    <row r="67" spans="1:11" ht="12.75" x14ac:dyDescent="0.2">
      <c r="A67" s="2"/>
      <c r="B67" s="5">
        <v>17</v>
      </c>
      <c r="C67" s="5"/>
      <c r="D67" s="4"/>
      <c r="E67" s="5" t="str">
        <f>IFERROR(VLOOKUP(D67,Cat2A[],2,FALSE),"")</f>
        <v/>
      </c>
      <c r="F67" s="5" t="str">
        <f>IF(E67="","",E67/10)</f>
        <v/>
      </c>
      <c r="G67" s="5" t="str">
        <f t="shared" si="5"/>
        <v>2028-29</v>
      </c>
    </row>
    <row r="68" spans="1:11" ht="12.75" x14ac:dyDescent="0.2">
      <c r="A68" s="2"/>
      <c r="B68" s="5">
        <v>18</v>
      </c>
      <c r="C68" s="5"/>
      <c r="D68" s="4"/>
      <c r="E68" s="5" t="str">
        <f>IFERROR(VLOOKUP(D68,Cat2A[],2,FALSE),"")</f>
        <v/>
      </c>
      <c r="F68" s="5" t="str">
        <f>IF(E68="","",E68/10)</f>
        <v/>
      </c>
      <c r="G68" s="5" t="str">
        <f t="shared" si="5"/>
        <v>2028-29</v>
      </c>
    </row>
    <row r="69" spans="1:11" ht="12.75" x14ac:dyDescent="0.2">
      <c r="A69" s="2"/>
      <c r="B69" s="5">
        <v>19</v>
      </c>
      <c r="C69" s="5"/>
      <c r="D69" s="4"/>
      <c r="E69" s="5" t="str">
        <f>IFERROR(VLOOKUP(D69,Cat2A[],2,FALSE),"")</f>
        <v/>
      </c>
      <c r="F69" s="5" t="str">
        <f>IF(E69="","",E69/10)</f>
        <v/>
      </c>
      <c r="G69" s="5" t="str">
        <f t="shared" si="5"/>
        <v>2028-29</v>
      </c>
    </row>
    <row r="70" spans="1:11" ht="12.75" x14ac:dyDescent="0.2">
      <c r="A70" s="2"/>
      <c r="B70" s="5">
        <v>20</v>
      </c>
      <c r="C70" s="5"/>
      <c r="D70" s="4"/>
      <c r="E70" s="5" t="str">
        <f>IFERROR(VLOOKUP(D70,Cat2A[],2,FALSE),"")</f>
        <v/>
      </c>
      <c r="F70" s="5" t="str">
        <f>IF(E70="","",E70/10)</f>
        <v/>
      </c>
      <c r="G70" s="5" t="str">
        <f t="shared" si="5"/>
        <v>2028-29</v>
      </c>
    </row>
    <row r="71" spans="1:11" ht="12.75" x14ac:dyDescent="0.2">
      <c r="A71" s="2"/>
      <c r="B71" s="5">
        <v>21</v>
      </c>
      <c r="C71" s="5"/>
      <c r="D71" s="4"/>
      <c r="E71" s="5" t="str">
        <f>IFERROR(VLOOKUP(D71,Cat2A[],2,FALSE),"")</f>
        <v/>
      </c>
      <c r="F71" s="5" t="str">
        <f>IF(E71="","",E71/10)</f>
        <v/>
      </c>
      <c r="G71" s="5" t="str">
        <f t="shared" si="5"/>
        <v>2028-29</v>
      </c>
    </row>
    <row r="72" spans="1:11" ht="12.75" x14ac:dyDescent="0.2">
      <c r="A72" s="2"/>
      <c r="B72" s="2"/>
      <c r="D72" s="13" t="s">
        <v>163</v>
      </c>
      <c r="E72" s="4">
        <f t="shared" ref="E72:F72" si="6">SUM(E51:E71)</f>
        <v>0</v>
      </c>
      <c r="F72" s="4">
        <f t="shared" si="6"/>
        <v>0</v>
      </c>
      <c r="G72" s="31" t="s">
        <v>172</v>
      </c>
    </row>
    <row r="73" spans="1:11" ht="12.75" x14ac:dyDescent="0.2">
      <c r="A73" s="2"/>
      <c r="B73" s="2"/>
      <c r="D73" s="13" t="s">
        <v>15</v>
      </c>
      <c r="E73" s="46">
        <f>F72</f>
        <v>0</v>
      </c>
      <c r="F73" s="42"/>
      <c r="G73" s="31">
        <f>MIN(E73,K50)</f>
        <v>0</v>
      </c>
    </row>
    <row r="74" spans="1:11" ht="12.75" x14ac:dyDescent="0.2">
      <c r="A74" s="2"/>
      <c r="B74" s="2"/>
    </row>
    <row r="75" spans="1:11" ht="12.75" x14ac:dyDescent="0.2">
      <c r="A75" s="1" t="s">
        <v>156</v>
      </c>
      <c r="B75" s="1" t="s">
        <v>173</v>
      </c>
    </row>
    <row r="76" spans="1:11" ht="12.75" x14ac:dyDescent="0.2">
      <c r="A76" s="2"/>
      <c r="B76" s="2"/>
    </row>
    <row r="77" spans="1:11" ht="12.75" x14ac:dyDescent="0.2">
      <c r="A77" s="1"/>
      <c r="B77" s="12" t="s">
        <v>146</v>
      </c>
      <c r="C77" s="12" t="s">
        <v>169</v>
      </c>
      <c r="D77" s="12" t="s">
        <v>174</v>
      </c>
      <c r="E77" s="32" t="s">
        <v>175</v>
      </c>
      <c r="F77" s="12" t="s">
        <v>46</v>
      </c>
      <c r="G77" s="12" t="s">
        <v>171</v>
      </c>
      <c r="H77" s="12" t="s">
        <v>151</v>
      </c>
      <c r="J77" s="13" t="s">
        <v>152</v>
      </c>
      <c r="K77" s="5">
        <v>15</v>
      </c>
    </row>
    <row r="78" spans="1:11" ht="12.75" x14ac:dyDescent="0.2">
      <c r="A78" s="1"/>
      <c r="B78" s="5">
        <v>1</v>
      </c>
      <c r="C78" s="5"/>
      <c r="D78" s="4"/>
      <c r="E78" s="5"/>
      <c r="F78" s="5" t="str">
        <f>IF(OR(D78="",E78=""),"",E78*IFERROR(VLOOKUP(D78,Cat2B[],2,FALSE),""))</f>
        <v/>
      </c>
      <c r="G78" s="5" t="str">
        <f>IF(F78="","",F78/10)</f>
        <v/>
      </c>
      <c r="H78" s="5" t="str">
        <f t="shared" ref="H78:H87" si="7">"2028-29"</f>
        <v>2028-29</v>
      </c>
      <c r="I78" s="2"/>
    </row>
    <row r="79" spans="1:11" ht="12.75" x14ac:dyDescent="0.2">
      <c r="A79" s="1"/>
      <c r="B79" s="5">
        <v>2</v>
      </c>
      <c r="C79" s="5"/>
      <c r="D79" s="4"/>
      <c r="E79" s="5"/>
      <c r="F79" s="5" t="str">
        <f>IF(OR(D79="",E79=""),"",E79*IFERROR(VLOOKUP(D79,Cat2B[],2,FALSE),""))</f>
        <v/>
      </c>
      <c r="G79" s="5" t="str">
        <f>IF(F79="","",F79/10)</f>
        <v/>
      </c>
      <c r="H79" s="5" t="str">
        <f t="shared" si="7"/>
        <v>2028-29</v>
      </c>
      <c r="I79" s="2"/>
    </row>
    <row r="80" spans="1:11" ht="12.75" x14ac:dyDescent="0.2">
      <c r="A80" s="1"/>
      <c r="B80" s="5">
        <v>3</v>
      </c>
      <c r="C80" s="5"/>
      <c r="D80" s="4"/>
      <c r="E80" s="5"/>
      <c r="F80" s="5" t="str">
        <f>IF(OR(D80="",E80=""),"",E80*IFERROR(VLOOKUP(D80,Cat2B[],2,FALSE),""))</f>
        <v/>
      </c>
      <c r="G80" s="5" t="str">
        <f>IF(F80="","",F80/10)</f>
        <v/>
      </c>
      <c r="H80" s="5" t="str">
        <f t="shared" si="7"/>
        <v>2028-29</v>
      </c>
      <c r="I80" s="2"/>
    </row>
    <row r="81" spans="1:11" ht="12.75" x14ac:dyDescent="0.2">
      <c r="A81" s="1"/>
      <c r="B81" s="5">
        <v>4</v>
      </c>
      <c r="C81" s="5"/>
      <c r="D81" s="4"/>
      <c r="E81" s="5"/>
      <c r="F81" s="5" t="str">
        <f>IF(OR(D81="",E81=""),"",E81*IFERROR(VLOOKUP(D81,Cat2B[],2,FALSE),""))</f>
        <v/>
      </c>
      <c r="G81" s="5" t="str">
        <f>IF(F81="","",F81/10)</f>
        <v/>
      </c>
      <c r="H81" s="5" t="str">
        <f t="shared" si="7"/>
        <v>2028-29</v>
      </c>
      <c r="I81" s="2"/>
    </row>
    <row r="82" spans="1:11" ht="12.75" x14ac:dyDescent="0.2">
      <c r="A82" s="1"/>
      <c r="B82" s="5">
        <v>5</v>
      </c>
      <c r="C82" s="5"/>
      <c r="D82" s="4"/>
      <c r="E82" s="5"/>
      <c r="F82" s="5" t="str">
        <f>IF(OR(D82="",E82=""),"",E82*IFERROR(VLOOKUP(D82,Cat2B[],2,FALSE),""))</f>
        <v/>
      </c>
      <c r="G82" s="5" t="str">
        <f>IF(F82="","",F82/10)</f>
        <v/>
      </c>
      <c r="H82" s="5" t="str">
        <f t="shared" si="7"/>
        <v>2028-29</v>
      </c>
      <c r="I82" s="2"/>
    </row>
    <row r="83" spans="1:11" ht="12.75" x14ac:dyDescent="0.2">
      <c r="A83" s="1"/>
      <c r="B83" s="5">
        <v>6</v>
      </c>
      <c r="C83" s="5"/>
      <c r="D83" s="4"/>
      <c r="E83" s="5"/>
      <c r="F83" s="5" t="str">
        <f>IF(OR(D83="",E83=""),"",E83*IFERROR(VLOOKUP(D83,Cat2B[],2,FALSE),""))</f>
        <v/>
      </c>
      <c r="G83" s="5" t="str">
        <f>IF(F83="","",F83/10)</f>
        <v/>
      </c>
      <c r="H83" s="5" t="str">
        <f t="shared" si="7"/>
        <v>2028-29</v>
      </c>
      <c r="I83" s="2"/>
    </row>
    <row r="84" spans="1:11" ht="12.75" x14ac:dyDescent="0.2">
      <c r="A84" s="1"/>
      <c r="B84" s="5">
        <v>7</v>
      </c>
      <c r="C84" s="5"/>
      <c r="D84" s="4"/>
      <c r="E84" s="5"/>
      <c r="F84" s="5" t="str">
        <f>IF(OR(D84="",E84=""),"",E84*IFERROR(VLOOKUP(D84,Cat2B[],2,FALSE),""))</f>
        <v/>
      </c>
      <c r="G84" s="5" t="str">
        <f>IF(F84="","",F84/10)</f>
        <v/>
      </c>
      <c r="H84" s="5" t="str">
        <f t="shared" si="7"/>
        <v>2028-29</v>
      </c>
      <c r="I84" s="2"/>
    </row>
    <row r="85" spans="1:11" ht="12.75" x14ac:dyDescent="0.2">
      <c r="A85" s="1"/>
      <c r="B85" s="5">
        <v>8</v>
      </c>
      <c r="C85" s="5"/>
      <c r="D85" s="4"/>
      <c r="E85" s="5"/>
      <c r="F85" s="5" t="str">
        <f>IF(OR(D85="",E85=""),"",E85*IFERROR(VLOOKUP(D85,Cat2B[],2,FALSE),""))</f>
        <v/>
      </c>
      <c r="G85" s="5" t="str">
        <f>IF(F85="","",F85/10)</f>
        <v/>
      </c>
      <c r="H85" s="5" t="str">
        <f t="shared" si="7"/>
        <v>2028-29</v>
      </c>
      <c r="I85" s="2"/>
    </row>
    <row r="86" spans="1:11" ht="12.75" x14ac:dyDescent="0.2">
      <c r="A86" s="1"/>
      <c r="B86" s="5">
        <v>9</v>
      </c>
      <c r="C86" s="5"/>
      <c r="D86" s="4"/>
      <c r="E86" s="5"/>
      <c r="F86" s="5" t="str">
        <f>IF(OR(D86="",E86=""),"",E86*IFERROR(VLOOKUP(D86,Cat2B[],2,FALSE),""))</f>
        <v/>
      </c>
      <c r="G86" s="5" t="str">
        <f>IF(F86="","",F86/10)</f>
        <v/>
      </c>
      <c r="H86" s="5" t="str">
        <f t="shared" si="7"/>
        <v>2028-29</v>
      </c>
      <c r="I86" s="2"/>
    </row>
    <row r="87" spans="1:11" ht="12.75" x14ac:dyDescent="0.2">
      <c r="A87" s="1"/>
      <c r="B87" s="5">
        <v>10</v>
      </c>
      <c r="C87" s="5"/>
      <c r="D87" s="4"/>
      <c r="E87" s="5"/>
      <c r="F87" s="5" t="str">
        <f>IF(OR(D87="",E87=""),"",E87*IFERROR(VLOOKUP(D87,Cat2B[],2,FALSE),""))</f>
        <v/>
      </c>
      <c r="G87" s="5" t="str">
        <f>IF(F87="","",F87/10)</f>
        <v/>
      </c>
      <c r="H87" s="5" t="str">
        <f t="shared" si="7"/>
        <v>2028-29</v>
      </c>
      <c r="I87" s="2"/>
    </row>
    <row r="88" spans="1:11" ht="12.75" x14ac:dyDescent="0.2">
      <c r="A88" s="1"/>
      <c r="B88" s="2"/>
      <c r="D88" s="13" t="s">
        <v>163</v>
      </c>
      <c r="E88" s="33" t="s">
        <v>29</v>
      </c>
      <c r="F88" s="4">
        <f t="shared" ref="F88:G88" si="8">SUM(F78:F87)</f>
        <v>0</v>
      </c>
      <c r="G88" s="4">
        <f t="shared" si="8"/>
        <v>0</v>
      </c>
      <c r="H88" s="31" t="s">
        <v>176</v>
      </c>
      <c r="I88" s="2"/>
    </row>
    <row r="89" spans="1:11" ht="12.75" x14ac:dyDescent="0.2">
      <c r="A89" s="1"/>
      <c r="B89" s="1"/>
      <c r="D89" s="13" t="s">
        <v>25</v>
      </c>
      <c r="E89" s="46">
        <f>G88</f>
        <v>0</v>
      </c>
      <c r="F89" s="41"/>
      <c r="G89" s="42"/>
      <c r="H89" s="31">
        <f>MIN(G88,K77)</f>
        <v>0</v>
      </c>
    </row>
    <row r="90" spans="1:11" ht="12.75" x14ac:dyDescent="0.2">
      <c r="A90" s="1"/>
      <c r="B90" s="1"/>
    </row>
    <row r="91" spans="1:11" ht="12.75" x14ac:dyDescent="0.2">
      <c r="A91" s="1"/>
      <c r="B91" s="1"/>
    </row>
    <row r="92" spans="1:11" ht="12.75" x14ac:dyDescent="0.2">
      <c r="A92" s="1" t="s">
        <v>165</v>
      </c>
      <c r="B92" s="1" t="s">
        <v>177</v>
      </c>
    </row>
    <row r="94" spans="1:11" ht="12.75" x14ac:dyDescent="0.2">
      <c r="B94" s="12" t="s">
        <v>146</v>
      </c>
      <c r="C94" s="12" t="s">
        <v>169</v>
      </c>
      <c r="D94" s="12" t="s">
        <v>178</v>
      </c>
      <c r="E94" s="12" t="s">
        <v>46</v>
      </c>
      <c r="F94" s="12" t="s">
        <v>171</v>
      </c>
      <c r="G94" s="12" t="s">
        <v>151</v>
      </c>
      <c r="J94" s="13" t="s">
        <v>152</v>
      </c>
      <c r="K94" s="5">
        <v>15</v>
      </c>
    </row>
    <row r="95" spans="1:11" ht="12.75" x14ac:dyDescent="0.2">
      <c r="B95" s="5">
        <v>1</v>
      </c>
      <c r="C95" s="5"/>
      <c r="D95" s="4"/>
      <c r="E95" s="5" t="str">
        <f>IFERROR(VLOOKUP(D95,Cat2C[],2,FALSE),"")</f>
        <v/>
      </c>
      <c r="F95" s="5" t="str">
        <f>IF(E95="","",E95/10)</f>
        <v/>
      </c>
      <c r="G95" s="5" t="str">
        <f t="shared" ref="G95:G102" si="9">"2028-29"</f>
        <v>2028-29</v>
      </c>
    </row>
    <row r="96" spans="1:11" ht="12.75" x14ac:dyDescent="0.2">
      <c r="B96" s="5">
        <v>2</v>
      </c>
      <c r="C96" s="5"/>
      <c r="D96" s="4"/>
      <c r="E96" s="5" t="str">
        <f>IFERROR(VLOOKUP(D96,Cat2C[],2,FALSE),"")</f>
        <v/>
      </c>
      <c r="F96" s="5" t="str">
        <f>IF(E96="","",E96/10)</f>
        <v/>
      </c>
      <c r="G96" s="5" t="str">
        <f t="shared" si="9"/>
        <v>2028-29</v>
      </c>
    </row>
    <row r="97" spans="1:11" ht="12.75" x14ac:dyDescent="0.2">
      <c r="B97" s="5">
        <v>3</v>
      </c>
      <c r="C97" s="5"/>
      <c r="D97" s="4"/>
      <c r="E97" s="5" t="str">
        <f>IFERROR(VLOOKUP(D97,Cat2C[],2,FALSE),"")</f>
        <v/>
      </c>
      <c r="F97" s="5" t="str">
        <f>IF(E97="","",E97/10)</f>
        <v/>
      </c>
      <c r="G97" s="5" t="str">
        <f t="shared" si="9"/>
        <v>2028-29</v>
      </c>
    </row>
    <row r="98" spans="1:11" ht="12.75" x14ac:dyDescent="0.2">
      <c r="B98" s="5">
        <v>4</v>
      </c>
      <c r="C98" s="5"/>
      <c r="D98" s="4"/>
      <c r="E98" s="5" t="str">
        <f>IFERROR(VLOOKUP(D98,Cat2C[],2,FALSE),"")</f>
        <v/>
      </c>
      <c r="F98" s="5" t="str">
        <f>IF(E98="","",E98/10)</f>
        <v/>
      </c>
      <c r="G98" s="5" t="str">
        <f t="shared" si="9"/>
        <v>2028-29</v>
      </c>
    </row>
    <row r="99" spans="1:11" ht="12.75" x14ac:dyDescent="0.2">
      <c r="B99" s="5">
        <v>5</v>
      </c>
      <c r="C99" s="5"/>
      <c r="D99" s="4"/>
      <c r="E99" s="5" t="str">
        <f>IFERROR(VLOOKUP(D99,Cat2C[],2,FALSE),"")</f>
        <v/>
      </c>
      <c r="F99" s="5" t="str">
        <f>IF(E99="","",E99/10)</f>
        <v/>
      </c>
      <c r="G99" s="5" t="str">
        <f t="shared" si="9"/>
        <v>2028-29</v>
      </c>
    </row>
    <row r="100" spans="1:11" ht="12.75" x14ac:dyDescent="0.2">
      <c r="B100" s="5">
        <v>6</v>
      </c>
      <c r="C100" s="5"/>
      <c r="D100" s="4"/>
      <c r="E100" s="5" t="str">
        <f>IFERROR(VLOOKUP(D100,Cat2C[],2,FALSE),"")</f>
        <v/>
      </c>
      <c r="F100" s="5" t="str">
        <f>IF(E100="","",E100/10)</f>
        <v/>
      </c>
      <c r="G100" s="5" t="str">
        <f t="shared" si="9"/>
        <v>2028-29</v>
      </c>
    </row>
    <row r="101" spans="1:11" ht="12.75" x14ac:dyDescent="0.2">
      <c r="B101" s="5">
        <v>7</v>
      </c>
      <c r="C101" s="5"/>
      <c r="D101" s="4"/>
      <c r="E101" s="5" t="str">
        <f>IFERROR(VLOOKUP(D101,Cat2C[],2,FALSE),"")</f>
        <v/>
      </c>
      <c r="F101" s="5" t="str">
        <f>IF(E101="","",E101/10)</f>
        <v/>
      </c>
      <c r="G101" s="5" t="str">
        <f t="shared" si="9"/>
        <v>2028-29</v>
      </c>
    </row>
    <row r="102" spans="1:11" ht="12.75" x14ac:dyDescent="0.2">
      <c r="B102" s="5">
        <v>8</v>
      </c>
      <c r="C102" s="5"/>
      <c r="D102" s="4"/>
      <c r="E102" s="5" t="str">
        <f>IFERROR(VLOOKUP(D102,Cat2C[],2,FALSE),"")</f>
        <v/>
      </c>
      <c r="F102" s="5" t="str">
        <f>IF(E102="","",E102/10)</f>
        <v/>
      </c>
      <c r="G102" s="5" t="str">
        <f t="shared" si="9"/>
        <v>2028-29</v>
      </c>
    </row>
    <row r="103" spans="1:11" ht="12.75" x14ac:dyDescent="0.2">
      <c r="D103" s="13" t="s">
        <v>163</v>
      </c>
      <c r="E103" s="4">
        <f t="shared" ref="E103:F103" si="10">SUM(E95:E102)</f>
        <v>0</v>
      </c>
      <c r="F103" s="4">
        <f t="shared" si="10"/>
        <v>0</v>
      </c>
      <c r="G103" s="31" t="s">
        <v>179</v>
      </c>
    </row>
    <row r="104" spans="1:11" ht="12.75" x14ac:dyDescent="0.2">
      <c r="D104" s="13" t="s">
        <v>17</v>
      </c>
      <c r="E104" s="46">
        <f>F103</f>
        <v>0</v>
      </c>
      <c r="F104" s="42"/>
      <c r="G104" s="31">
        <f>MIN(E104,K94)</f>
        <v>0</v>
      </c>
    </row>
    <row r="106" spans="1:11" ht="12.75" x14ac:dyDescent="0.2">
      <c r="B106" s="12" t="s">
        <v>15</v>
      </c>
      <c r="C106" s="12" t="s">
        <v>16</v>
      </c>
      <c r="D106" s="12" t="s">
        <v>17</v>
      </c>
      <c r="E106" s="34" t="s">
        <v>180</v>
      </c>
    </row>
    <row r="107" spans="1:11" ht="12.75" x14ac:dyDescent="0.2">
      <c r="B107" s="5">
        <f>G73</f>
        <v>0</v>
      </c>
      <c r="C107" s="5">
        <f>H89</f>
        <v>0</v>
      </c>
      <c r="D107" s="5">
        <f>G104</f>
        <v>0</v>
      </c>
      <c r="E107" s="5">
        <f>SUM(B107:D107)</f>
        <v>0</v>
      </c>
    </row>
    <row r="109" spans="1:11" ht="20.25" x14ac:dyDescent="0.3">
      <c r="A109" s="38" t="s">
        <v>19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2.75" x14ac:dyDescent="0.2">
      <c r="A110" s="1"/>
      <c r="B110" s="1"/>
    </row>
    <row r="111" spans="1:11" ht="12.75" x14ac:dyDescent="0.2">
      <c r="A111" s="1" t="s">
        <v>144</v>
      </c>
      <c r="B111" s="1" t="s">
        <v>181</v>
      </c>
    </row>
    <row r="112" spans="1:11" ht="12.75" x14ac:dyDescent="0.2">
      <c r="A112" s="1"/>
      <c r="B112" s="1"/>
    </row>
    <row r="113" spans="1:9" ht="12.75" x14ac:dyDescent="0.2">
      <c r="A113" s="1"/>
      <c r="B113" s="12" t="s">
        <v>146</v>
      </c>
      <c r="C113" s="12" t="s">
        <v>182</v>
      </c>
      <c r="D113" s="12" t="s">
        <v>183</v>
      </c>
      <c r="E113" s="12" t="s">
        <v>184</v>
      </c>
      <c r="F113" s="12" t="s">
        <v>83</v>
      </c>
      <c r="G113" s="12" t="s">
        <v>185</v>
      </c>
      <c r="H113" s="12" t="s">
        <v>171</v>
      </c>
      <c r="I113" s="12" t="s">
        <v>151</v>
      </c>
    </row>
    <row r="114" spans="1:9" ht="12.75" x14ac:dyDescent="0.2">
      <c r="A114" s="1"/>
      <c r="B114" s="4"/>
      <c r="C114" s="5"/>
      <c r="D114" s="5"/>
      <c r="E114" s="5"/>
      <c r="F114" s="5"/>
      <c r="G114" s="5"/>
      <c r="H114" s="5" t="str">
        <f>IF(OR(F114="",G114=""),"",SUMIFS(Lookup!$C$40:$C$57,Lookup!$A$40:$A$57,F114,Lookup!$B$40:$B$57,G114))</f>
        <v/>
      </c>
      <c r="I114" s="5" t="str">
        <f>"2028-29"</f>
        <v>2028-29</v>
      </c>
    </row>
    <row r="115" spans="1:9" ht="12.75" x14ac:dyDescent="0.2">
      <c r="A115" s="1"/>
      <c r="B115" s="1"/>
      <c r="G115" s="13" t="s">
        <v>163</v>
      </c>
      <c r="H115" s="4">
        <f>SUM(H114)</f>
        <v>0</v>
      </c>
      <c r="I115" s="4"/>
    </row>
    <row r="116" spans="1:9" ht="12.75" x14ac:dyDescent="0.2">
      <c r="A116" s="1"/>
      <c r="B116" s="1"/>
    </row>
    <row r="117" spans="1:9" ht="12.75" x14ac:dyDescent="0.2">
      <c r="A117" s="1" t="s">
        <v>156</v>
      </c>
      <c r="B117" s="1" t="s">
        <v>186</v>
      </c>
    </row>
    <row r="119" spans="1:9" ht="12.75" x14ac:dyDescent="0.2">
      <c r="B119" s="12" t="s">
        <v>146</v>
      </c>
      <c r="C119" s="12" t="s">
        <v>187</v>
      </c>
      <c r="D119" s="12" t="s">
        <v>85</v>
      </c>
      <c r="E119" s="12" t="s">
        <v>45</v>
      </c>
      <c r="F119" s="12" t="s">
        <v>171</v>
      </c>
      <c r="G119" s="12" t="s">
        <v>151</v>
      </c>
    </row>
    <row r="120" spans="1:9" ht="14.25" x14ac:dyDescent="0.2">
      <c r="B120" s="5">
        <v>1</v>
      </c>
      <c r="C120" s="5"/>
      <c r="D120" s="4"/>
      <c r="E120" s="35"/>
      <c r="F120" s="5" t="str">
        <f>IF(OR(D120="",E120=""),"",SUMIFS(Lookup!$G$40:$G$81,Lookup!$E$40:$E$81,D120,Lookup!$F$40:$F$81,E120))</f>
        <v/>
      </c>
      <c r="G120" s="5" t="str">
        <f t="shared" ref="G120:G128" si="11">"2028-29"</f>
        <v>2028-29</v>
      </c>
    </row>
    <row r="121" spans="1:9" ht="14.25" x14ac:dyDescent="0.2">
      <c r="B121" s="5">
        <v>2</v>
      </c>
      <c r="C121" s="5"/>
      <c r="D121" s="4"/>
      <c r="E121" s="35"/>
      <c r="F121" s="5" t="str">
        <f>IF(OR(D121="",E121=""),"",SUMIFS(Lookup!$G$40:$G$81,Lookup!$E$40:$E$81,D121,Lookup!$F$40:$F$81,E121))</f>
        <v/>
      </c>
      <c r="G121" s="5" t="str">
        <f t="shared" si="11"/>
        <v>2028-29</v>
      </c>
    </row>
    <row r="122" spans="1:9" ht="14.25" x14ac:dyDescent="0.2">
      <c r="B122" s="5">
        <v>3</v>
      </c>
      <c r="C122" s="5"/>
      <c r="D122" s="4"/>
      <c r="E122" s="35"/>
      <c r="F122" s="5" t="str">
        <f>IF(OR(D122="",E122=""),"",SUMIFS(Lookup!$G$40:$G$81,Lookup!$E$40:$E$81,D122,Lookup!$F$40:$F$81,E122))</f>
        <v/>
      </c>
      <c r="G122" s="5" t="str">
        <f t="shared" si="11"/>
        <v>2028-29</v>
      </c>
    </row>
    <row r="123" spans="1:9" ht="14.25" x14ac:dyDescent="0.2">
      <c r="B123" s="5">
        <v>4</v>
      </c>
      <c r="C123" s="5"/>
      <c r="D123" s="4"/>
      <c r="E123" s="35"/>
      <c r="F123" s="5" t="str">
        <f>IF(OR(D123="",E123=""),"",SUMIFS(Lookup!$G$40:$G$81,Lookup!$E$40:$E$81,D123,Lookup!$F$40:$F$81,E123))</f>
        <v/>
      </c>
      <c r="G123" s="5" t="str">
        <f t="shared" si="11"/>
        <v>2028-29</v>
      </c>
    </row>
    <row r="124" spans="1:9" ht="14.25" x14ac:dyDescent="0.2">
      <c r="B124" s="5">
        <v>5</v>
      </c>
      <c r="C124" s="5"/>
      <c r="D124" s="4"/>
      <c r="E124" s="35"/>
      <c r="F124" s="5" t="str">
        <f>IF(OR(D124="",E124=""),"",SUMIFS(Lookup!$G$40:$G$81,Lookup!$E$40:$E$81,D124,Lookup!$F$40:$F$81,E124))</f>
        <v/>
      </c>
      <c r="G124" s="5" t="str">
        <f t="shared" si="11"/>
        <v>2028-29</v>
      </c>
    </row>
    <row r="125" spans="1:9" ht="14.25" x14ac:dyDescent="0.2">
      <c r="B125" s="5">
        <v>6</v>
      </c>
      <c r="C125" s="5"/>
      <c r="D125" s="4"/>
      <c r="E125" s="35"/>
      <c r="F125" s="5" t="str">
        <f>IF(OR(D125="",E125=""),"",SUMIFS(Lookup!$G$40:$G$81,Lookup!$E$40:$E$81,D125,Lookup!$F$40:$F$81,E125))</f>
        <v/>
      </c>
      <c r="G125" s="5" t="str">
        <f t="shared" si="11"/>
        <v>2028-29</v>
      </c>
    </row>
    <row r="126" spans="1:9" ht="14.25" x14ac:dyDescent="0.2">
      <c r="B126" s="5">
        <v>7</v>
      </c>
      <c r="C126" s="5"/>
      <c r="D126" s="4"/>
      <c r="E126" s="35"/>
      <c r="F126" s="5" t="str">
        <f>IF(OR(D126="",E126=""),"",SUMIFS(Lookup!$G$40:$G$81,Lookup!$E$40:$E$81,D126,Lookup!$F$40:$F$81,E126))</f>
        <v/>
      </c>
      <c r="G126" s="5" t="str">
        <f t="shared" si="11"/>
        <v>2028-29</v>
      </c>
    </row>
    <row r="127" spans="1:9" ht="14.25" x14ac:dyDescent="0.2">
      <c r="B127" s="5">
        <v>8</v>
      </c>
      <c r="C127" s="5"/>
      <c r="D127" s="4"/>
      <c r="E127" s="35"/>
      <c r="F127" s="5" t="str">
        <f>IF(OR(D127="",E127=""),"",SUMIFS(Lookup!$G$40:$G$81,Lookup!$E$40:$E$81,D127,Lookup!$F$40:$F$81,E127))</f>
        <v/>
      </c>
      <c r="G127" s="5" t="str">
        <f t="shared" si="11"/>
        <v>2028-29</v>
      </c>
    </row>
    <row r="128" spans="1:9" ht="14.25" x14ac:dyDescent="0.2">
      <c r="B128" s="5">
        <v>9</v>
      </c>
      <c r="C128" s="5"/>
      <c r="D128" s="4"/>
      <c r="E128" s="35"/>
      <c r="F128" s="5" t="str">
        <f>IF(OR(D128="",E128=""),"",SUMIFS(Lookup!$G$40:$G$81,Lookup!$E$40:$E$81,D128,Lookup!$F$40:$F$81,E128))</f>
        <v/>
      </c>
      <c r="G128" s="5" t="str">
        <f t="shared" si="11"/>
        <v>2028-29</v>
      </c>
    </row>
    <row r="129" spans="2:7" ht="12.75" x14ac:dyDescent="0.2">
      <c r="E129" s="13" t="s">
        <v>163</v>
      </c>
      <c r="F129" s="4">
        <f>SUM(F120:F128)</f>
        <v>0</v>
      </c>
      <c r="G129" s="4"/>
    </row>
    <row r="131" spans="2:7" ht="12.75" x14ac:dyDescent="0.2">
      <c r="B131" s="12" t="s">
        <v>188</v>
      </c>
      <c r="C131" s="12" t="s">
        <v>189</v>
      </c>
      <c r="D131" s="34" t="s">
        <v>190</v>
      </c>
    </row>
    <row r="132" spans="2:7" ht="12.75" x14ac:dyDescent="0.2">
      <c r="B132" s="5">
        <f>H115</f>
        <v>0</v>
      </c>
      <c r="C132" s="5">
        <f>F129</f>
        <v>0</v>
      </c>
      <c r="D132" s="5">
        <f>SUM(B132:C132)</f>
        <v>0</v>
      </c>
    </row>
    <row r="149" spans="2:7" ht="12.75" x14ac:dyDescent="0.2">
      <c r="B149" s="4" t="s">
        <v>138</v>
      </c>
      <c r="C149" s="4" t="s">
        <v>139</v>
      </c>
      <c r="D149" s="1" t="s">
        <v>140</v>
      </c>
      <c r="E149" s="1" t="s">
        <v>141</v>
      </c>
    </row>
    <row r="150" spans="2:7" ht="12.75" x14ac:dyDescent="0.2">
      <c r="B150" s="5" t="s">
        <v>142</v>
      </c>
      <c r="C150" s="5" t="s">
        <v>142</v>
      </c>
      <c r="D150" s="5" t="s">
        <v>142</v>
      </c>
      <c r="E150" s="5" t="s">
        <v>142</v>
      </c>
    </row>
    <row r="151" spans="2:7" ht="12.75" x14ac:dyDescent="0.2">
      <c r="B151" s="5" t="e">
        <f t="array" aca="1" ref="B151:B156" ca="1">_xludf.UNIQUE(INDEX(Cat3A[],,1))</f>
        <v>#NAME?</v>
      </c>
      <c r="C151" s="5" t="str">
        <f ca="1">IFERROR(__xludf.DUMMYFUNCTION("UNIQUE(FILTER(INDEX(Cat3A,,2),INDEX(Cat3A,,1)=F114))"),"#N/A")</f>
        <v>#N/A</v>
      </c>
      <c r="D151" s="2" t="e">
        <f t="array" aca="1" ref="D151:D161" ca="1">_xludf.UNIQUE(INDEX(Cat3B[],,1))</f>
        <v>#NAME?</v>
      </c>
      <c r="E151" s="2" t="str">
        <f ca="1">IFERROR(__xludf.DUMMYFUNCTION("TRANSPOSE(UNIQUE(FILTER(INDEX(Cat3B,,2),INDEX(Cat3B,,1)=D120)))"),"International Award / Fellowship from Academic Bodies/Associations")</f>
        <v>International Award / Fellowship from Academic Bodies/Associations</v>
      </c>
      <c r="F151" s="2" t="str">
        <f ca="1">IFERROR(__xludf.DUMMYFUNCTION("""COMPUTED_VALUE"""),"National Award / Fellowship from Academic Bodies/Associations")</f>
        <v>National Award / Fellowship from Academic Bodies/Associations</v>
      </c>
      <c r="G151" s="2" t="str">
        <f ca="1">IFERROR(__xludf.DUMMYFUNCTION("""COMPUTED_VALUE"""),"State / University Award/Fellowship from Academic Bodies/Associations")</f>
        <v>State / University Award/Fellowship from Academic Bodies/Associations</v>
      </c>
    </row>
    <row r="152" spans="2:7" ht="12.75" x14ac:dyDescent="0.2">
      <c r="B152" s="5" t="e">
        <f ca="1"/>
        <v>#NAME?</v>
      </c>
      <c r="C152" s="5"/>
      <c r="D152" s="2" t="e">
        <f ca="1"/>
        <v>#NAME?</v>
      </c>
    </row>
    <row r="153" spans="2:7" ht="12.75" x14ac:dyDescent="0.2">
      <c r="B153" s="5" t="e">
        <f ca="1"/>
        <v>#NAME?</v>
      </c>
      <c r="C153" s="5"/>
      <c r="D153" s="2" t="e">
        <f ca="1"/>
        <v>#NAME?</v>
      </c>
    </row>
    <row r="154" spans="2:7" ht="12.75" x14ac:dyDescent="0.2">
      <c r="B154" s="5" t="e">
        <f ca="1"/>
        <v>#NAME?</v>
      </c>
      <c r="C154" s="5"/>
      <c r="D154" s="2" t="e">
        <f ca="1"/>
        <v>#NAME?</v>
      </c>
    </row>
    <row r="155" spans="2:7" ht="12.75" x14ac:dyDescent="0.2">
      <c r="B155" s="5" t="e">
        <f ca="1"/>
        <v>#NAME?</v>
      </c>
      <c r="C155" s="5"/>
      <c r="D155" s="2" t="e">
        <f ca="1"/>
        <v>#NAME?</v>
      </c>
    </row>
    <row r="156" spans="2:7" ht="12.75" x14ac:dyDescent="0.2">
      <c r="B156" s="5" t="e">
        <f ca="1"/>
        <v>#NAME?</v>
      </c>
      <c r="C156" s="5"/>
      <c r="D156" s="2" t="e">
        <f ca="1"/>
        <v>#NAME?</v>
      </c>
    </row>
    <row r="157" spans="2:7" ht="12.75" x14ac:dyDescent="0.2">
      <c r="D157" s="2" t="e">
        <f ca="1"/>
        <v>#NAME?</v>
      </c>
    </row>
    <row r="158" spans="2:7" ht="12.75" x14ac:dyDescent="0.2">
      <c r="D158" s="2" t="e">
        <f ca="1"/>
        <v>#NAME?</v>
      </c>
    </row>
    <row r="159" spans="2:7" ht="12.75" x14ac:dyDescent="0.2">
      <c r="D159" s="2" t="e">
        <f ca="1"/>
        <v>#NAME?</v>
      </c>
    </row>
    <row r="160" spans="2:7" ht="12.75" x14ac:dyDescent="0.2">
      <c r="D160" s="2" t="e">
        <f ca="1"/>
        <v>#NAME?</v>
      </c>
    </row>
    <row r="161" spans="4:4" ht="12.75" x14ac:dyDescent="0.2">
      <c r="D161" s="2" t="e">
        <f ca="1"/>
        <v>#NAME?</v>
      </c>
    </row>
  </sheetData>
  <mergeCells count="13">
    <mergeCell ref="B17:C17"/>
    <mergeCell ref="A1:K1"/>
    <mergeCell ref="B2:G2"/>
    <mergeCell ref="E11:G11"/>
    <mergeCell ref="B13:G13"/>
    <mergeCell ref="B16:C16"/>
    <mergeCell ref="A109:K109"/>
    <mergeCell ref="E31:F31"/>
    <mergeCell ref="B33:G33"/>
    <mergeCell ref="A47:K47"/>
    <mergeCell ref="E73:F73"/>
    <mergeCell ref="E89:G89"/>
    <mergeCell ref="E104:F104"/>
  </mergeCells>
  <dataValidations count="9">
    <dataValidation type="list" allowBlank="1" showInputMessage="1" showErrorMessage="1" sqref="D18:D29" xr:uid="{21BFEEF7-EC8B-4510-AA97-EB50CD75E58E}">
      <formula1>ExamMode</formula1>
    </dataValidation>
    <dataValidation type="list" allowBlank="1" showInputMessage="1" showErrorMessage="1" sqref="D5:D9 D36:D40" xr:uid="{BCC61679-3062-4D68-8F73-2387C29BA8A1}">
      <formula1>CourseIn</formula1>
    </dataValidation>
    <dataValidation type="list" allowBlank="1" showErrorMessage="1" sqref="E120:E128" xr:uid="{67E4EF6D-C4AC-4D5A-A6DA-F3A851B6B8BB}">
      <formula1>$E$150:$E$161</formula1>
    </dataValidation>
    <dataValidation type="list" allowBlank="1" showInputMessage="1" showErrorMessage="1" sqref="D51:D71" xr:uid="{D5D91CB8-6341-4AE9-BF32-24E61AC8E939}">
      <formula1>Cat2AList</formula1>
    </dataValidation>
    <dataValidation type="list" allowBlank="1" showInputMessage="1" showErrorMessage="1" sqref="D78:D87" xr:uid="{A0E70C5C-A4C2-428B-A2E8-FA7B0EED5339}">
      <formula1>Cat2BList</formula1>
    </dataValidation>
    <dataValidation type="list" allowBlank="1" showInputMessage="1" showErrorMessage="1" sqref="D95:D102" xr:uid="{3D82E1C2-1DC1-4035-833B-8FA0102B6F90}">
      <formula1>Cat2CList</formula1>
    </dataValidation>
    <dataValidation type="list" allowBlank="1" showInputMessage="1" showErrorMessage="1" sqref="F114" xr:uid="{20642D0B-D778-4D58-8048-C0154B1B940D}">
      <formula1>Cat3AClassList</formula1>
    </dataValidation>
    <dataValidation type="list" allowBlank="1" showInputMessage="1" showErrorMessage="1" sqref="G114" xr:uid="{1B983868-8EA4-4BF7-8832-0F44A342FCD2}">
      <formula1>Cat3AAuthorList</formula1>
    </dataValidation>
    <dataValidation type="list" allowBlank="1" showInputMessage="1" showErrorMessage="1" sqref="D120:D128" xr:uid="{BEF6B2C5-498B-4CD0-91A4-87FD512AF68B}">
      <formula1>Cat3BCategoryList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Dashboard</vt:lpstr>
      <vt:lpstr>Lookup</vt:lpstr>
      <vt:lpstr>API 2025-26</vt:lpstr>
      <vt:lpstr>2026-27</vt:lpstr>
      <vt:lpstr>2027-28</vt:lpstr>
      <vt:lpstr>2028-29</vt:lpstr>
      <vt:lpstr>Cat2AList</vt:lpstr>
      <vt:lpstr>Cat2BList</vt:lpstr>
      <vt:lpstr>Cat2CList</vt:lpstr>
      <vt:lpstr>Cat3AAuthorList</vt:lpstr>
      <vt:lpstr>Cat3AClassList</vt:lpstr>
      <vt:lpstr>Cat3BCategoryList</vt:lpstr>
      <vt:lpstr>CourseIn</vt:lpstr>
      <vt:lpstr>ExamMode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J K Verma</cp:lastModifiedBy>
  <dcterms:modified xsi:type="dcterms:W3CDTF">2026-04-09T20:06:43Z</dcterms:modified>
</cp:coreProperties>
</file>